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/>
  <workbookPr/>
  <mc:AlternateContent xmlns:mc="http://schemas.openxmlformats.org/markup-compatibility/2006">
    <mc:Choice Requires="x15">
      <x15ac:absPath xmlns:x15ac="http://schemas.microsoft.com/office/spreadsheetml/2010/11/ac" url="D:\Project\Software\STM32\Gamma_fMotionPlanner\Doc\ConfigPrj\ExcelCfg\"/>
    </mc:Choice>
  </mc:AlternateContent>
  <xr:revisionPtr revIDLastSave="0" documentId="13_ncr:1_{DBA372A1-C614-456B-A17C-E9EE363FC191}" xr6:coauthVersionLast="47" xr6:coauthVersionMax="47" xr10:uidLastSave="{00000000-0000-0000-0000-000000000000}"/>
  <bookViews>
    <workbookView xWindow="-108" yWindow="-108" windowWidth="23256" windowHeight="12456" activeTab="3" xr2:uid="{D0BA3158-A968-48A5-9590-611DD8CA9BD8}"/>
  </bookViews>
  <sheets>
    <sheet name="Machine" sheetId="1" r:id="rId1"/>
    <sheet name="Sensors_Drivers" sheetId="2" r:id="rId2"/>
    <sheet name="Actuators_Drivers" sheetId="3" r:id="rId3"/>
    <sheet name="Parameters" sheetId="7" r:id="rId4"/>
    <sheet name="Diagnostic" sheetId="4" r:id="rId5"/>
    <sheet name="DiagStrategy" sheetId="6" r:id="rId6"/>
    <sheet name="Logic" sheetId="5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4" i="4" l="1"/>
  <c r="B25" i="4"/>
  <c r="B26" i="4"/>
  <c r="B27" i="4"/>
  <c r="B28" i="4"/>
  <c r="B29" i="4" s="1"/>
  <c r="B30" i="4" s="1"/>
  <c r="B31" i="4" s="1"/>
  <c r="B32" i="4" s="1"/>
  <c r="B33" i="4" s="1"/>
  <c r="B34" i="4" s="1"/>
  <c r="B23" i="4"/>
</calcChain>
</file>

<file path=xl/sharedStrings.xml><?xml version="1.0" encoding="utf-8"?>
<sst xmlns="http://schemas.openxmlformats.org/spreadsheetml/2006/main" count="359" uniqueCount="221">
  <si>
    <t>Descritpion</t>
  </si>
  <si>
    <t xml:space="preserve">Description </t>
  </si>
  <si>
    <t>Sensors_unity</t>
  </si>
  <si>
    <t>Is there Driv_Init_Function ?</t>
  </si>
  <si>
    <t>Is there Drv_Cyclic_Function?</t>
  </si>
  <si>
    <t>Sensors_Unity_List</t>
  </si>
  <si>
    <t>Description</t>
  </si>
  <si>
    <t>RAW</t>
  </si>
  <si>
    <t>Raw value is not changed</t>
  </si>
  <si>
    <t>No</t>
  </si>
  <si>
    <t>Yes</t>
  </si>
  <si>
    <t>Sensor value converted to angle in radians</t>
  </si>
  <si>
    <t>Sensor value converted to angle in degrees</t>
  </si>
  <si>
    <t>Sensor value converted to distance in meters</t>
  </si>
  <si>
    <t>Sensor value converted to distance in millimeters</t>
  </si>
  <si>
    <t>Sensor value converted to temperature in Celsius</t>
  </si>
  <si>
    <t>Sensor value converted to temperature in Fahrenheit</t>
  </si>
  <si>
    <t>Sensor value converted to pressure in pascals</t>
  </si>
  <si>
    <t>Sensor value converted to pressure in bars</t>
  </si>
  <si>
    <t>Enable</t>
  </si>
  <si>
    <t>Disable</t>
  </si>
  <si>
    <t>Drv_Actuator_Name (In Code)</t>
  </si>
  <si>
    <t>Desrciption</t>
  </si>
  <si>
    <t xml:space="preserve">Yes </t>
  </si>
  <si>
    <t>PRESSURE</t>
  </si>
  <si>
    <t>TEMPERATURE</t>
  </si>
  <si>
    <t>SPEED</t>
  </si>
  <si>
    <t>ANGLE</t>
  </si>
  <si>
    <t>DISTANCE</t>
  </si>
  <si>
    <t>FORCE</t>
  </si>
  <si>
    <t>FLOW</t>
  </si>
  <si>
    <t>ANGULAR_SPD</t>
  </si>
  <si>
    <t>True</t>
  </si>
  <si>
    <t>False</t>
  </si>
  <si>
    <t xml:space="preserve"> </t>
  </si>
  <si>
    <t>Item Diagnastic Name</t>
  </si>
  <si>
    <t>NotifyUser</t>
  </si>
  <si>
    <t>LogError</t>
  </si>
  <si>
    <t>StratToApplied</t>
  </si>
  <si>
    <t>Debug Info 1 description</t>
  </si>
  <si>
    <t>Debug Info 2 description</t>
  </si>
  <si>
    <t>Description Item</t>
  </si>
  <si>
    <t>IdxItem</t>
  </si>
  <si>
    <t xml:space="preserve">Description Strategy </t>
  </si>
  <si>
    <t>Name Strategy</t>
  </si>
  <si>
    <t>Agent_Name</t>
  </si>
  <si>
    <t>SrvName</t>
  </si>
  <si>
    <t>Srv 1</t>
  </si>
  <si>
    <t>Srv 2</t>
  </si>
  <si>
    <t>Srv 3</t>
  </si>
  <si>
    <t>FMK_CFG_ERROR</t>
  </si>
  <si>
    <t>Enum Module from t_eAppSys_ModuleList</t>
  </si>
  <si>
    <t>Time out Difference Strong Bit</t>
  </si>
  <si>
    <t>Time out Difference Low Bit</t>
  </si>
  <si>
    <t>APP_CYCLIC_TIMEOUT</t>
  </si>
  <si>
    <t>APP_FASTTASK_TIMEOUT</t>
  </si>
  <si>
    <t>UDS_COM_ERROR</t>
  </si>
  <si>
    <t>Info Errror</t>
  </si>
  <si>
    <t>SoVersion</t>
  </si>
  <si>
    <t>SubSoVersion</t>
  </si>
  <si>
    <t>01</t>
  </si>
  <si>
    <t>ECU ID</t>
  </si>
  <si>
    <t>0x45689657</t>
  </si>
  <si>
    <t>Gère la gestion du gantry</t>
  </si>
  <si>
    <t>Id</t>
  </si>
  <si>
    <t>NOM_SOFTWARE</t>
  </si>
  <si>
    <t>MIN</t>
  </si>
  <si>
    <t>MAX</t>
  </si>
  <si>
    <t>DEFAULT</t>
  </si>
  <si>
    <t>VERSION</t>
  </si>
  <si>
    <t>APPSIG_MSG_TIMEOUT</t>
  </si>
  <si>
    <t>idx of the message</t>
  </si>
  <si>
    <t>type of the message</t>
  </si>
  <si>
    <t xml:space="preserve">module  error </t>
  </si>
  <si>
    <t>module error</t>
  </si>
  <si>
    <t>FMK_FDCAN_OPE_ERROR</t>
  </si>
  <si>
    <t>FMK_SRL_OPE_ERROR</t>
  </si>
  <si>
    <t>FMK_HRT_OPE_ERROR</t>
  </si>
  <si>
    <t>FMK_TIM_OPE_ERROR</t>
  </si>
  <si>
    <t>FMK_CPU_OPE_ERROR</t>
  </si>
  <si>
    <t>General Error = 0, Fifo Rx Error = 1, Fifo Tx Error = 2</t>
  </si>
  <si>
    <t>[0:7] - Dma channel, [8:15] - Dma controller</t>
  </si>
  <si>
    <t>High Resolution instance</t>
  </si>
  <si>
    <t>error from HAL_HRTIM_StateTypeDef</t>
  </si>
  <si>
    <t>error from t_eFMKSRL_LineHealth</t>
  </si>
  <si>
    <t>Error from t_eFMKFDCAN_NodeStatus</t>
  </si>
  <si>
    <t>error from t_eFMKCPU_DmaChnlErr</t>
  </si>
  <si>
    <t>FMK_CDA_OPE_ERROR</t>
  </si>
  <si>
    <t>Idx Adc</t>
  </si>
  <si>
    <t>error from t_eFMKCDA_AdcErrState</t>
  </si>
  <si>
    <t>DebuncerCnt</t>
  </si>
  <si>
    <t>Stay Active Ms if no news</t>
  </si>
  <si>
    <t>FMK_CPU_TEMP_OUT_OF_RANGE</t>
  </si>
  <si>
    <t xml:space="preserve">temperature of the cpu </t>
  </si>
  <si>
    <t>FMK_SUPPLY_VOLTAGE_OUT_OF_RANGE</t>
  </si>
  <si>
    <t>Voltage of the cpu * 10</t>
  </si>
  <si>
    <t>Signal ID (from APPSIG)</t>
  </si>
  <si>
    <t>it's multiply by 2 in AppSig</t>
  </si>
  <si>
    <t>LGC_MTR_PULSE_ITER_MAX</t>
  </si>
  <si>
    <t>PRM_LGC_MTR_PULSE_ITER_MAX</t>
  </si>
  <si>
    <t>LGC_MTR_XL_RAMP_CTRL_KFACTOR</t>
  </si>
  <si>
    <t>PRM_LGC_MTR_XL_RAMP_CTRL_KFACTOR</t>
  </si>
  <si>
    <t>LGC_MTR_XL_RAMP_CTRL_SLOP_SPEED</t>
  </si>
  <si>
    <t>LGC_MTR_XL_SPEED_MAX</t>
  </si>
  <si>
    <t>PRM_LGC_MTR_XL_SPEED_MAX</t>
  </si>
  <si>
    <t>LGC_MTR_XL_SPEED_MIN</t>
  </si>
  <si>
    <t>PRM_LGC_MTR_XL_SPEED_MIN</t>
  </si>
  <si>
    <t>LGC_MTR_XR_RAMP_CTRL_KFACTOR</t>
  </si>
  <si>
    <t>PRM_LGC_MTR_XR_RAMP_CTRL_KFACTOR</t>
  </si>
  <si>
    <t>LGC_MTR_XR_RAMP_CTRL_SLOP_SPEED</t>
  </si>
  <si>
    <t>LGC_MTR_XR_SPEED_MAX</t>
  </si>
  <si>
    <t>PRM_LGC_MTR_XR_SPEED_MAX</t>
  </si>
  <si>
    <t>LGC_MTR_XR_SPEED_MIN</t>
  </si>
  <si>
    <t>PRM_LGC_MTR_XR_SPEED_MIN</t>
  </si>
  <si>
    <t>LGC_MTR_Y_RAMP_CTRL_KFACTOR</t>
  </si>
  <si>
    <t>PRM_LGC_MTR_Y_RAMP_CTRL_KFACTOR</t>
  </si>
  <si>
    <t>LGC_MTR_Y_RAMP_CTRL_SLOP_SPEED</t>
  </si>
  <si>
    <t>LGC_MTR_Y_SPEED_MAX</t>
  </si>
  <si>
    <t>PRM_LGC_MTR_Y_SPEED_MAX</t>
  </si>
  <si>
    <t>LGC_MTR_Y_SPEED_MIN</t>
  </si>
  <si>
    <t>PRM_LGC_MTR_Y_SPEED_MIN</t>
  </si>
  <si>
    <t>LGC_MTR_Z_RAMP_CTRL_KFACTOR</t>
  </si>
  <si>
    <t>PRM_LGC_MTR_Z_RAMP_CTRL_KFACTOR</t>
  </si>
  <si>
    <t>LGC_MTR_Z_RAMP_CTRL_SLOP_SPEED</t>
  </si>
  <si>
    <t>LGC_MTR_Z_SPEED_MAX</t>
  </si>
  <si>
    <t>PRM_LGC_MTR_Z_SPEED_MAX</t>
  </si>
  <si>
    <t>LGC_MTR_Z_SPEED_MIN</t>
  </si>
  <si>
    <t>PRM_LGC_MTR_Z_SPEED_MIN</t>
  </si>
  <si>
    <t>Moteur X left position</t>
  </si>
  <si>
    <t>MTR_XL</t>
  </si>
  <si>
    <t>POS</t>
  </si>
  <si>
    <t>Interface ( the capteur value from your sensors)</t>
  </si>
  <si>
    <t>Moteur Y left position</t>
  </si>
  <si>
    <t>the parameter of the Device cfg is automatically get the Python Tool, as SNS_DVC_CFGID_{DVC_NAME}</t>
  </si>
  <si>
    <t>CL42T</t>
  </si>
  <si>
    <t>EMS22A</t>
  </si>
  <si>
    <t>MTR_Y</t>
  </si>
  <si>
    <t>MTR_Z</t>
  </si>
  <si>
    <t>Sys Option</t>
  </si>
  <si>
    <t>Enum 1</t>
  </si>
  <si>
    <t>Enum 2</t>
  </si>
  <si>
    <t>Configuration of sensors device motor XL</t>
  </si>
  <si>
    <t>ECDR_XL</t>
  </si>
  <si>
    <t>ECDR_XR</t>
  </si>
  <si>
    <t>ECDR_Y</t>
  </si>
  <si>
    <t>ECDR_Z</t>
  </si>
  <si>
    <t>NEMA17</t>
  </si>
  <si>
    <t>SNS_ECDR_XL</t>
  </si>
  <si>
    <t>SNS_ECDR_XR</t>
  </si>
  <si>
    <t>SNS_ECDR_Y</t>
  </si>
  <si>
    <t>SNS_ECDR_Z</t>
  </si>
  <si>
    <t>Machine X</t>
  </si>
  <si>
    <t>POC_1</t>
  </si>
  <si>
    <t>POC_2</t>
  </si>
  <si>
    <t>UNUSED</t>
  </si>
  <si>
    <t>Sensors_Device Name (In Code)</t>
  </si>
  <si>
    <t>Driver_Sensors_Name (In Code)</t>
  </si>
  <si>
    <t>SYS_MACHINE_ID</t>
  </si>
  <si>
    <t>SYS_OPT_SNS_ECDR_XL</t>
  </si>
  <si>
    <t>SYS_OPT_SNS_ECDR_XR</t>
  </si>
  <si>
    <t>SYS_OPT_SNS_ECDR_Y</t>
  </si>
  <si>
    <t>SYS_OPT_SNS_ECDR_Z</t>
  </si>
  <si>
    <t>Actuator_Device Name</t>
  </si>
  <si>
    <t>Actuator Interface Name</t>
  </si>
  <si>
    <t>PULSE</t>
  </si>
  <si>
    <t>Moteur Y Pulses</t>
  </si>
  <si>
    <t>Moteur Y Speed</t>
  </si>
  <si>
    <t>Moteur Z Pulses</t>
  </si>
  <si>
    <t>Moteur Z Speed</t>
  </si>
  <si>
    <t xml:space="preserve">CL42T Driver </t>
  </si>
  <si>
    <t>Cyclic In Fast Task</t>
  </si>
  <si>
    <t>ACT_MTR_XL</t>
  </si>
  <si>
    <t>ACT_MTR_XR</t>
  </si>
  <si>
    <t>ACT_MTR_Y</t>
  </si>
  <si>
    <t>ACT_MTR_Z</t>
  </si>
  <si>
    <t>Is Cyclic In Fast Task</t>
  </si>
  <si>
    <t>SYS_OPT_ACT_MTR_XL</t>
  </si>
  <si>
    <t>SYS_OPT_ACT_MTR_XR</t>
  </si>
  <si>
    <t>SYS_OPT_ACT_MTR_Y</t>
  </si>
  <si>
    <t>SYS_OPT_ACT_MTR_Z</t>
  </si>
  <si>
    <t>Disable All Mouvement From Gantry</t>
  </si>
  <si>
    <t>GANTRY_AXES_OFF</t>
  </si>
  <si>
    <t>GANTRY_AXE_X_OFF</t>
  </si>
  <si>
    <t>Disable Axe X Mouvement From Gantry</t>
  </si>
  <si>
    <t>GANTRY_AXE_Y_OFF</t>
  </si>
  <si>
    <t>Disable Axe Y Mouvement From Gantry</t>
  </si>
  <si>
    <t>GANTRY_AXE_Z_OFF</t>
  </si>
  <si>
    <t>Disable Axe Z Mouvement From Gantry</t>
  </si>
  <si>
    <t>GTRY_X</t>
  </si>
  <si>
    <t>GTRY_Y</t>
  </si>
  <si>
    <t>GTRY_Z</t>
  </si>
  <si>
    <t>GANTRY</t>
  </si>
  <si>
    <t xml:space="preserve">Gantry Axe X service </t>
  </si>
  <si>
    <t xml:space="preserve">Gantry Axe Z service </t>
  </si>
  <si>
    <t xml:space="preserve">Gantry Axe Y service </t>
  </si>
  <si>
    <t>LGC_GTRY_OPE_ERROR</t>
  </si>
  <si>
    <t>Gantry Health</t>
  </si>
  <si>
    <t>LGC_GTRY_X_OPE_ERROR</t>
  </si>
  <si>
    <t>LGC_GTRY_Y_OPE_ERROR</t>
  </si>
  <si>
    <t>LGC_GTRY_Z_OPE_ERROR</t>
  </si>
  <si>
    <t>MTR_XR</t>
  </si>
  <si>
    <t>Moteur XR Left Pulses</t>
  </si>
  <si>
    <t>Moteur XR Left Speed</t>
  </si>
  <si>
    <t>Moteur XL Left Pulses</t>
  </si>
  <si>
    <t>Moteur XL Left Speed</t>
  </si>
  <si>
    <t>Configuration of sensors device motor XL Default CL42T = 1</t>
  </si>
  <si>
    <t>Configuration of sensors device motor Z Default CL42T = 1</t>
  </si>
  <si>
    <t>Configuration of sensors device motor Y Default CL42T = 1</t>
  </si>
  <si>
    <t>Configuration of sensors device motor XR Default CL42T = 1</t>
  </si>
  <si>
    <t>PRM_LGC_MTR_XL_RAMP_CTRL_SLP_SPD</t>
  </si>
  <si>
    <t>PRM_LGC_MTR_XL_RAMP_CTRL_NB_STEP</t>
  </si>
  <si>
    <t>PRM_LGC_MTR_XR_RAMP_CTRL_SLP_SPD</t>
  </si>
  <si>
    <t>PRM_LGC_MTR_Y_RAMP_CTRL_SLP_SPD</t>
  </si>
  <si>
    <t>PRM_LGC_MTR_Z_RAMP_CTRL_SLP_SPD</t>
  </si>
  <si>
    <t>LGC_MTR_XL_RAMP_CTRL_NB_STEP</t>
  </si>
  <si>
    <t>LGC_MTR_XR_RAMP_CTRL_NB_STEP</t>
  </si>
  <si>
    <t>PRM_LGC_MTR_XR_RAMP_CTRL_NB_STEP</t>
  </si>
  <si>
    <t>LGC_MTR_Y_RAMP_CTRL_NB_STEP</t>
  </si>
  <si>
    <t>PRM_LGC_MTR_Y_RAMP_CTRL_NB_STEP</t>
  </si>
  <si>
    <t>LGC_MTR_Z_RAMP_CTRL_NB_STEP</t>
  </si>
  <si>
    <t>PRM_LGC_MTR_Z_RAMP_CTRL_NB_STEP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</si>
</sst>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49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5"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E7D1695-41E1-4B3F-AF19-9C465D64B382}" name="GeneralInfoSoftware" displayName="GeneralInfoSoftware" ref="C5:E6" totalsRowShown="0" dataDxfId="4">
  <autoFilter ref="C5:E6" xr:uid="{9E7D1695-41E1-4B3F-AF19-9C465D64B382}"/>
  <tableColumns count="3">
    <tableColumn id="1" xr3:uid="{D018933D-AFCC-4CCF-9485-3F5118AE0ABA}" name="SoVersion" dataDxfId="3"/>
    <tableColumn id="2" xr3:uid="{83F6082B-7FBF-4DF5-8C27-D489E6D27C97}" name="SubSoVersion" dataDxfId="2"/>
    <tableColumn id="3" xr3:uid="{6155E057-4AE4-4CC7-88F0-74C5D2AB6240}" name="ECU ID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F3AD413-C93D-4034-A595-8F4D3127129C}" name="APPSYS_CfgMachine" displayName="APPSYS_CfgMachine" ref="C16:K18" totalsRowShown="0">
  <autoFilter ref="C16:K18" xr:uid="{4F3AD413-C93D-4034-A595-8F4D3127129C}"/>
  <tableColumns count="9">
    <tableColumn id="1" xr3:uid="{03C35B10-735A-4EAC-B208-C98F28758B36}" name="Machine X"/>
    <tableColumn id="2" xr3:uid="{0842E08E-2C79-4C26-BA2B-5B74D484EBFE}" name="SNS_ECDR_XL"/>
    <tableColumn id="3" xr3:uid="{777E3533-7984-46E5-A8AF-47FDDDDC90A7}" name="SNS_ECDR_XR"/>
    <tableColumn id="4" xr3:uid="{45FD232D-F453-4485-A846-50A823449D70}" name="SNS_ECDR_Y"/>
    <tableColumn id="5" xr3:uid="{9C629FFC-CB36-4D1C-990E-F49A4D811241}" name="SNS_ECDR_Z"/>
    <tableColumn id="6" xr3:uid="{34DF2EE2-9771-4551-89AC-819F1ED78879}" name="ACT_MTR_XL"/>
    <tableColumn id="7" xr3:uid="{AFC350FE-7848-41AB-8577-5E065B686317}" name="ACT_MTR_XR"/>
    <tableColumn id="8" xr3:uid="{BE1D41AE-7815-4F2B-AF3F-5CD2BFE53F14}" name="ACT_MTR_Y"/>
    <tableColumn id="9" xr3:uid="{52859476-7CB9-4642-9C8C-C1FFDE5F3236}" name="ACT_MTR_Z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C5B0C07-EA0B-4F26-80B4-7DC3356ED2C6}" name="APPSYS_SysOptListEnum" displayName="APPSYS_SysOptListEnum" ref="C28:E36" totalsRowShown="0">
  <autoFilter ref="C28:E36" xr:uid="{0C5B0C07-EA0B-4F26-80B4-7DC3356ED2C6}"/>
  <tableColumns count="3">
    <tableColumn id="1" xr3:uid="{2A074AFA-306F-495C-8734-4CA896C13212}" name="Sys Option"/>
    <tableColumn id="2" xr3:uid="{0C50EA10-6402-43B1-85FB-A53935A5C06F}" name="Enum 1"/>
    <tableColumn id="3" xr3:uid="{3811AEAE-F8EA-46B4-A5D2-A23A132FBAD1}" name="Enum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CD091-BFA9-457E-B7CF-818A4CEF566E}" name="AppSns_SnsInterface" displayName="AppSns_SnsInterface" ref="B14:E22" totalsRowShown="0">
  <autoFilter ref="B14:E22" xr:uid="{4CCCD091-BFA9-457E-B7CF-818A4CEF566E}"/>
  <tableColumns count="4">
    <tableColumn id="2" xr3:uid="{F1815370-C5EA-4CBF-AB18-FFE79D8E0F87}" name="Sensors_Device Name (In Code)"/>
    <tableColumn id="1" xr3:uid="{FF3B7303-495E-422A-A0F7-7584C3047602}" name="Interface ( the capteur value from your sensors)"/>
    <tableColumn id="4" xr3:uid="{351EB0A6-A4BC-4FEE-8DB5-C9B4B18A468F}" name="Sensors_unity"/>
    <tableColumn id="3" xr3:uid="{A14F7D3C-1474-4B60-B012-862242E6577F}" name="Descritpion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313126F-76B4-4A3D-B3C2-3510B0E80F05}" name="AppSns_DriverList" displayName="AppSns_DriverList" ref="B43:F44" totalsRowShown="0">
  <autoFilter ref="B43:F44" xr:uid="{8313126F-76B4-4A3D-B3C2-3510B0E80F05}"/>
  <tableColumns count="5">
    <tableColumn id="1" xr3:uid="{9BE265D9-6C50-4DCB-A329-65F36392C87B}" name="Driver_Sensors_Name (In Code)"/>
    <tableColumn id="2" xr3:uid="{813FD55A-3815-4574-B6F6-6DE4331CD9B8}" name="Is there Driv_Init_Function ?"/>
    <tableColumn id="3" xr3:uid="{A933A224-FAA7-4078-BE85-165284573C1C}" name="Is there Drv_Cyclic_Function?"/>
    <tableColumn id="5" xr3:uid="{9E0B4521-1F49-4DD5-BB70-923C015279DE}" name="Is Cyclic In Fast Task"/>
    <tableColumn id="4" xr3:uid="{93630F0E-851A-423D-ABFD-16FD3D64F6A0}" name="Description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3BBA645-EE39-468E-9123-033954DE88DD}" name="AppSns_Unities" displayName="AppSns_Unities" ref="I22:J31" totalsRowShown="0">
  <autoFilter ref="I22:J31" xr:uid="{63BBA645-EE39-468E-9123-033954DE88DD}"/>
  <tableColumns count="2">
    <tableColumn id="1" xr3:uid="{7F8391D2-6E8A-4988-82FA-0135D8A7F4E6}" name="Sensors_Unity_List"/>
    <tableColumn id="2" xr3:uid="{BEF38932-C8D9-4A22-BB40-53F7F912FEB7}" name="Description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2569BF0-4EC4-49E0-B8CB-1BDD997D0830}" name="AppAct_ActInterface" displayName="AppAct_ActInterface" ref="B5:D13" totalsRowShown="0">
  <autoFilter ref="B5:D13" xr:uid="{A2569BF0-4EC4-49E0-B8CB-1BDD997D0830}"/>
  <tableColumns count="3">
    <tableColumn id="2" xr3:uid="{9FF38BAD-E1E2-45D9-A3B8-F8B85BA01106}" name="Actuator_Device Name"/>
    <tableColumn id="1" xr3:uid="{C0713309-FADC-4D05-AD9D-26351020AE89}" name="Actuator Interface Name"/>
    <tableColumn id="3" xr3:uid="{A80A51D2-EA53-43D2-BB7C-919E097E5AE4}" name="Description 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9361A83-FD0E-4FD5-B63B-93782D1E8D4D}" name="AppAct_DriverList" displayName="AppAct_DriverList" ref="F13:J14" totalsRowShown="0">
  <autoFilter ref="F13:J14" xr:uid="{39361A83-FD0E-4FD5-B63B-93782D1E8D4D}"/>
  <tableColumns count="5">
    <tableColumn id="1" xr3:uid="{2D7D2C86-BA8A-4F82-92F6-3EACBFEE27EF}" name="Drv_Actuator_Name (In Code)"/>
    <tableColumn id="2" xr3:uid="{DD607D67-159B-4C9B-A02A-195047D0BC68}" name="Is there Driv_Init_Function ?"/>
    <tableColumn id="3" xr3:uid="{048674E0-EA0B-41B5-B88C-764DAFA67E8E}" name="Is there Drv_Cyclic_Function?"/>
    <tableColumn id="4" xr3:uid="{61FDC0B0-94BD-4598-B717-D497102ED9E3}" name="Cyclic In Fast Task"/>
    <tableColumn id="5" xr3:uid="{00B20625-0D32-4CE5-B948-2CE05419D3E3}" name="Desrciptio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6FB401A-9B85-4726-A494-B67658AD2F23}" name="AppSpm_PrmInfo" displayName="AppSpm_PrmInfo" ref="C5:J35" totalsRowShown="0">
  <autoFilter ref="C5:J35" xr:uid="{A6FB401A-9B85-4726-A494-B67658AD2F23}"/>
  <sortState xmlns:xlrd2="http://schemas.microsoft.com/office/spreadsheetml/2017/richdata2" ref="C6:J26">
    <sortCondition ref="D5:D26"/>
  </sortState>
  <tableColumns count="8">
    <tableColumn id="1" xr3:uid="{448BB497-E454-46C8-8957-3AAD9C45BE7B}" name="Id"/>
    <tableColumn id="2" xr3:uid="{0C20BA62-28CE-48FB-B267-D9DAF5F168DB}" name="NOM_SOFTWARE"/>
    <tableColumn id="7" xr3:uid="{7562A698-69A8-4A56-A13C-E3DCB3001DE8}" name="VERSION" dataDxfId="0"/>
    <tableColumn id="3" xr3:uid="{41B19A92-EB20-42ED-951F-E094ED136643}" name="MIN"/>
    <tableColumn id="4" xr3:uid="{06CC40FA-EEB5-4319-AD79-B390B078B611}" name="MAX"/>
    <tableColumn id="5" xr3:uid="{25F2569F-2DE8-4504-B133-3591E5173A9A}" name="DEFAULT"/>
    <tableColumn id="8" xr3:uid="{AA8752E1-683B-4C53-AF9F-9998845C351A}" name="Signal ID (from APPSIG)"/>
    <tableColumn id="6" xr3:uid="{7EC00DFB-398D-4ED3-884A-232DE2D0D22E}" name="Description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1473292-4F3B-4CB8-B395-514270FECF8E}" name="AppSdm_DiagItemInfo" displayName="AppSdm_DiagItemInfo" ref="B21:K38" totalsRowShown="0">
  <autoFilter ref="B21:K38" xr:uid="{B1473292-4F3B-4CB8-B395-514270FECF8E}"/>
  <tableColumns count="10">
    <tableColumn id="9" xr3:uid="{51865B90-AF9F-4236-9D98-246E04EE58AC}" name="IdxItem"/>
    <tableColumn id="1" xr3:uid="{BA77AB4A-2C62-454D-B566-82D2A151E65E}" name="Item Diagnastic Name"/>
    <tableColumn id="2" xr3:uid="{6880BD35-8DAF-4B45-9F86-47C50E0E5B45}" name="DebuncerCnt"/>
    <tableColumn id="11" xr3:uid="{9AF35E69-18F6-4C4B-BEE9-9119286C3E87}" name="Stay Active Ms if no news"/>
    <tableColumn id="3" xr3:uid="{9F270E17-DF77-4A24-AB94-941C8C531536}" name="NotifyUser"/>
    <tableColumn id="4" xr3:uid="{317BDBDF-4F83-47A5-B8D9-AFECBCCB30F0}" name="LogError"/>
    <tableColumn id="5" xr3:uid="{FB548191-BDC4-452A-B0EF-648588F01312}" name="StratToApplied"/>
    <tableColumn id="6" xr3:uid="{ECF92F97-8964-445A-97B7-9908BAE807A2}" name="Debug Info 1 description"/>
    <tableColumn id="7" xr3:uid="{4776EFAE-A4D9-4EDE-B844-C6029806EC48}" name="Debug Info 2 description"/>
    <tableColumn id="8" xr3:uid="{7759945C-23FF-4B68-ABE5-7E39DB997A9F}" name="Description Item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145CEB3-B635-45D0-9652-462D6E99D51C}" name="AppSdm_ItemDiag" displayName="AppSdm_ItemDiag" ref="C7:G11" totalsRowShown="0">
  <autoFilter ref="C7:G11" xr:uid="{5145CEB3-B635-45D0-9652-462D6E99D51C}"/>
  <tableColumns count="5">
    <tableColumn id="2" xr3:uid="{BBA676F3-99F2-4DEE-916D-E8FFEDB3A0D6}" name="Name Strategy"/>
    <tableColumn id="5" xr3:uid="{B33D1ED6-FAB4-4CC2-B1EE-263429EBE6D2}" name="Description Strategy "/>
    <tableColumn id="4" xr3:uid="{C70CF47C-9B6C-4BEC-A3E7-6462BC722798}" name="Srv 1"/>
    <tableColumn id="1" xr3:uid="{B7FA288A-D9F3-460A-9685-394546155B7D}" name="Srv 2"/>
    <tableColumn id="3" xr3:uid="{909DD350-3E5C-4AD2-BEF9-49037679D446}" name="Srv 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1F15073-08AF-45A5-9CAE-87A146871E50}" name="AppLgc_Agent" displayName="AppLgc_Agent" ref="C5:D6" totalsRowShown="0">
  <autoFilter ref="C5:D6" xr:uid="{11F15073-08AF-45A5-9CAE-87A146871E50}"/>
  <tableColumns count="2">
    <tableColumn id="1" xr3:uid="{6651591C-3594-494C-B5D3-296781E3E269}" name="Agent_Name"/>
    <tableColumn id="2" xr3:uid="{164F4AC2-16DD-4EEF-A031-4A98ABDD2A5B}" name="Description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F3EE644-AA5B-46B2-BCAD-DC36BC874E21}" name="AppLgc_Srv" displayName="AppLgc_Srv" ref="F16:G19" totalsRowShown="0">
  <autoFilter ref="F16:G19" xr:uid="{7F3EE644-AA5B-46B2-BCAD-DC36BC874E21}"/>
  <tableColumns count="2">
    <tableColumn id="1" xr3:uid="{AF4976B1-01AC-4B0A-A727-36D1488CCCE4}" name="SrvName"/>
    <tableColumn id="4" xr3:uid="{CFEE4184-7DC4-4077-BCE4-9351A82BBE37}" name="Descr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8BB26-3616-4A4F-8746-292CD5503C54}">
  <dimension ref="C5:K36"/>
  <sheetViews>
    <sheetView zoomScale="92" workbookViewId="0">
      <selection activeCell="H18" sqref="H18"/>
    </sheetView>
  </sheetViews>
  <sheetFormatPr baseColWidth="10" defaultRowHeight="14.4" x14ac:dyDescent="0.3"/>
  <cols>
    <col min="3" max="3" width="17.6640625" customWidth="1"/>
    <col min="4" max="4" width="18.44140625" customWidth="1"/>
    <col min="5" max="5" width="23.21875" customWidth="1"/>
    <col min="6" max="6" width="21.88671875" customWidth="1"/>
    <col min="7" max="7" width="22.77734375" customWidth="1"/>
    <col min="8" max="8" width="23.44140625" customWidth="1"/>
    <col min="9" max="9" width="24.33203125" customWidth="1"/>
    <col min="10" max="10" width="24.77734375" customWidth="1"/>
    <col min="11" max="11" width="25.109375" customWidth="1"/>
  </cols>
  <sheetData>
    <row r="5" spans="3:11" x14ac:dyDescent="0.3">
      <c r="C5" t="s">
        <v>58</v>
      </c>
      <c r="D5" t="s">
        <v>59</v>
      </c>
      <c r="E5" t="s">
        <v>61</v>
      </c>
    </row>
    <row r="6" spans="3:11" x14ac:dyDescent="0.3">
      <c r="C6" s="1" t="s">
        <v>60</v>
      </c>
      <c r="D6" s="1" t="s">
        <v>60</v>
      </c>
      <c r="E6" s="1" t="s">
        <v>62</v>
      </c>
    </row>
    <row r="16" spans="3:11" x14ac:dyDescent="0.3">
      <c r="C16" t="s">
        <v>151</v>
      </c>
      <c r="D16" t="s">
        <v>147</v>
      </c>
      <c r="E16" t="s">
        <v>148</v>
      </c>
      <c r="F16" t="s">
        <v>149</v>
      </c>
      <c r="G16" t="s">
        <v>150</v>
      </c>
      <c r="H16" t="s">
        <v>171</v>
      </c>
      <c r="I16" t="s">
        <v>172</v>
      </c>
      <c r="J16" t="s">
        <v>173</v>
      </c>
      <c r="K16" t="s">
        <v>174</v>
      </c>
    </row>
    <row r="17" spans="3:11" x14ac:dyDescent="0.3">
      <c r="C17" t="s">
        <v>152</v>
      </c>
      <c r="D17" t="s">
        <v>146</v>
      </c>
      <c r="E17" t="s">
        <v>146</v>
      </c>
      <c r="F17" t="s">
        <v>146</v>
      </c>
      <c r="G17" t="s">
        <v>146</v>
      </c>
      <c r="H17" t="s">
        <v>134</v>
      </c>
      <c r="I17" t="s">
        <v>134</v>
      </c>
      <c r="J17" t="s">
        <v>134</v>
      </c>
      <c r="K17" t="s">
        <v>134</v>
      </c>
    </row>
    <row r="18" spans="3:11" x14ac:dyDescent="0.3">
      <c r="C18" t="s">
        <v>153</v>
      </c>
      <c r="D18" t="s">
        <v>154</v>
      </c>
      <c r="E18" t="s">
        <v>154</v>
      </c>
      <c r="F18" t="s">
        <v>154</v>
      </c>
      <c r="G18" t="s">
        <v>154</v>
      </c>
      <c r="H18" t="s">
        <v>134</v>
      </c>
      <c r="I18" t="s">
        <v>134</v>
      </c>
      <c r="J18" t="s">
        <v>134</v>
      </c>
      <c r="K18" t="s">
        <v>134</v>
      </c>
    </row>
    <row r="28" spans="3:11" x14ac:dyDescent="0.3">
      <c r="C28" t="s">
        <v>138</v>
      </c>
      <c r="D28" t="s">
        <v>139</v>
      </c>
      <c r="E28" t="s">
        <v>140</v>
      </c>
    </row>
    <row r="29" spans="3:11" x14ac:dyDescent="0.3">
      <c r="C29" t="s">
        <v>147</v>
      </c>
      <c r="D29" t="s">
        <v>146</v>
      </c>
      <c r="E29" t="s">
        <v>135</v>
      </c>
    </row>
    <row r="30" spans="3:11" x14ac:dyDescent="0.3">
      <c r="C30" t="s">
        <v>148</v>
      </c>
      <c r="D30" t="s">
        <v>146</v>
      </c>
      <c r="E30" t="s">
        <v>135</v>
      </c>
    </row>
    <row r="31" spans="3:11" x14ac:dyDescent="0.3">
      <c r="C31" t="s">
        <v>149</v>
      </c>
      <c r="D31" t="s">
        <v>146</v>
      </c>
      <c r="E31" t="s">
        <v>135</v>
      </c>
    </row>
    <row r="32" spans="3:11" x14ac:dyDescent="0.3">
      <c r="C32" t="s">
        <v>150</v>
      </c>
      <c r="D32" t="s">
        <v>146</v>
      </c>
      <c r="E32" t="s">
        <v>135</v>
      </c>
    </row>
    <row r="33" spans="3:4" x14ac:dyDescent="0.3">
      <c r="C33" t="s">
        <v>171</v>
      </c>
      <c r="D33" t="s">
        <v>134</v>
      </c>
    </row>
    <row r="34" spans="3:4" x14ac:dyDescent="0.3">
      <c r="C34" t="s">
        <v>172</v>
      </c>
      <c r="D34" t="s">
        <v>134</v>
      </c>
    </row>
    <row r="35" spans="3:4" x14ac:dyDescent="0.3">
      <c r="C35" t="s">
        <v>173</v>
      </c>
      <c r="D35" t="s">
        <v>134</v>
      </c>
    </row>
    <row r="36" spans="3:4" x14ac:dyDescent="0.3">
      <c r="C36" t="s">
        <v>174</v>
      </c>
      <c r="D36" t="s">
        <v>134</v>
      </c>
    </row>
  </sheetData>
  <phoneticPr fontId="1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8812D-C0C0-44E4-A431-A2FBD08B4EA1}">
  <dimension ref="B13:M43"/>
  <sheetViews>
    <sheetView topLeftCell="A6" zoomScale="57" zoomScaleNormal="46" workbookViewId="0">
      <selection activeCell="C45" sqref="C45"/>
    </sheetView>
  </sheetViews>
  <sheetFormatPr baseColWidth="10" defaultRowHeight="14.4" x14ac:dyDescent="0.3"/>
  <cols>
    <col min="2" max="2" width="31" customWidth="1"/>
    <col min="3" max="3" width="45.6640625" customWidth="1"/>
    <col min="4" max="4" width="41.88671875" customWidth="1"/>
    <col min="5" max="5" width="60.5546875" customWidth="1"/>
    <col min="6" max="6" width="42" customWidth="1"/>
    <col min="9" max="9" width="21.109375" customWidth="1"/>
    <col min="10" max="10" width="62.109375" customWidth="1"/>
  </cols>
  <sheetData>
    <row r="13" spans="2:5" x14ac:dyDescent="0.3">
      <c r="B13" t="s">
        <v>133</v>
      </c>
    </row>
    <row r="14" spans="2:5" x14ac:dyDescent="0.3">
      <c r="B14" t="s">
        <v>155</v>
      </c>
      <c r="C14" t="s">
        <v>131</v>
      </c>
      <c r="D14" t="s">
        <v>2</v>
      </c>
      <c r="E14" t="s">
        <v>0</v>
      </c>
    </row>
    <row r="15" spans="2:5" x14ac:dyDescent="0.3">
      <c r="B15" t="s">
        <v>142</v>
      </c>
      <c r="C15" t="s">
        <v>130</v>
      </c>
      <c r="D15" t="s">
        <v>28</v>
      </c>
      <c r="E15" t="s">
        <v>132</v>
      </c>
    </row>
    <row r="16" spans="2:5" x14ac:dyDescent="0.3">
      <c r="B16" t="s">
        <v>142</v>
      </c>
      <c r="C16" t="s">
        <v>26</v>
      </c>
      <c r="D16" t="s">
        <v>31</v>
      </c>
      <c r="E16" t="s">
        <v>132</v>
      </c>
    </row>
    <row r="17" spans="2:13" x14ac:dyDescent="0.3">
      <c r="B17" t="s">
        <v>143</v>
      </c>
      <c r="C17" t="s">
        <v>130</v>
      </c>
      <c r="D17" t="s">
        <v>28</v>
      </c>
      <c r="E17" t="s">
        <v>128</v>
      </c>
    </row>
    <row r="18" spans="2:13" x14ac:dyDescent="0.3">
      <c r="B18" t="s">
        <v>143</v>
      </c>
      <c r="C18" t="s">
        <v>26</v>
      </c>
      <c r="D18" t="s">
        <v>31</v>
      </c>
      <c r="E18" t="s">
        <v>132</v>
      </c>
    </row>
    <row r="19" spans="2:13" x14ac:dyDescent="0.3">
      <c r="B19" t="s">
        <v>144</v>
      </c>
      <c r="C19" t="s">
        <v>130</v>
      </c>
      <c r="D19" t="s">
        <v>28</v>
      </c>
      <c r="E19" t="s">
        <v>128</v>
      </c>
    </row>
    <row r="20" spans="2:13" x14ac:dyDescent="0.3">
      <c r="B20" t="s">
        <v>144</v>
      </c>
      <c r="C20" t="s">
        <v>26</v>
      </c>
      <c r="D20" t="s">
        <v>31</v>
      </c>
      <c r="E20" t="s">
        <v>132</v>
      </c>
    </row>
    <row r="21" spans="2:13" x14ac:dyDescent="0.3">
      <c r="B21" t="s">
        <v>145</v>
      </c>
      <c r="C21" t="s">
        <v>130</v>
      </c>
      <c r="D21" t="s">
        <v>28</v>
      </c>
      <c r="E21" t="s">
        <v>128</v>
      </c>
    </row>
    <row r="22" spans="2:13" x14ac:dyDescent="0.3">
      <c r="B22" t="s">
        <v>145</v>
      </c>
      <c r="C22" t="s">
        <v>26</v>
      </c>
      <c r="D22" t="s">
        <v>31</v>
      </c>
      <c r="E22" t="s">
        <v>132</v>
      </c>
      <c r="I22" t="s">
        <v>5</v>
      </c>
      <c r="J22" t="s">
        <v>6</v>
      </c>
    </row>
    <row r="23" spans="2:13" x14ac:dyDescent="0.3">
      <c r="I23" t="s">
        <v>7</v>
      </c>
      <c r="J23" t="s">
        <v>8</v>
      </c>
    </row>
    <row r="24" spans="2:13" x14ac:dyDescent="0.3">
      <c r="I24" t="s">
        <v>24</v>
      </c>
      <c r="J24" t="s">
        <v>11</v>
      </c>
      <c r="L24" t="s">
        <v>10</v>
      </c>
      <c r="M24" t="s">
        <v>9</v>
      </c>
    </row>
    <row r="25" spans="2:13" x14ac:dyDescent="0.3">
      <c r="I25" t="s">
        <v>25</v>
      </c>
      <c r="J25" t="s">
        <v>12</v>
      </c>
    </row>
    <row r="26" spans="2:13" x14ac:dyDescent="0.3">
      <c r="I26" t="s">
        <v>26</v>
      </c>
      <c r="J26" t="s">
        <v>13</v>
      </c>
      <c r="L26" t="s">
        <v>19</v>
      </c>
      <c r="M26" t="s">
        <v>20</v>
      </c>
    </row>
    <row r="27" spans="2:13" x14ac:dyDescent="0.3">
      <c r="I27" t="s">
        <v>27</v>
      </c>
      <c r="J27" t="s">
        <v>14</v>
      </c>
    </row>
    <row r="28" spans="2:13" x14ac:dyDescent="0.3">
      <c r="I28" t="s">
        <v>28</v>
      </c>
      <c r="J28" t="s">
        <v>15</v>
      </c>
    </row>
    <row r="29" spans="2:13" x14ac:dyDescent="0.3">
      <c r="I29" t="s">
        <v>29</v>
      </c>
      <c r="J29" t="s">
        <v>16</v>
      </c>
    </row>
    <row r="30" spans="2:13" x14ac:dyDescent="0.3">
      <c r="I30" t="s">
        <v>30</v>
      </c>
      <c r="J30" t="s">
        <v>17</v>
      </c>
    </row>
    <row r="31" spans="2:13" x14ac:dyDescent="0.3">
      <c r="I31" t="s">
        <v>31</v>
      </c>
      <c r="J31" t="s">
        <v>18</v>
      </c>
    </row>
    <row r="43" spans="2:6" x14ac:dyDescent="0.3">
      <c r="B43" t="s">
        <v>156</v>
      </c>
      <c r="C43" t="s">
        <v>3</v>
      </c>
      <c r="D43" t="s">
        <v>4</v>
      </c>
      <c r="E43" t="s">
        <v>175</v>
      </c>
      <c r="F43" t="s">
        <v>6</v>
      </c>
    </row>
  </sheetData>
  <phoneticPr fontId="1" type="noConversion"/>
  <dataValidations count="2">
    <dataValidation type="list" allowBlank="1" showInputMessage="1" showErrorMessage="1" sqref="C44:E44" xr:uid="{F7AAAA20-4A68-4C1A-9530-746FCEA6F7D1}">
      <formula1>$L$24:$M$24</formula1>
    </dataValidation>
    <dataValidation type="list" allowBlank="1" showInputMessage="1" showErrorMessage="1" sqref="D15:D22" xr:uid="{166EF16C-46C1-48BE-8EFB-BA550AC5D995}">
      <formula1>$I$23:$I$31</formula1>
    </dataValidation>
  </dataValidation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88EBF-C78A-4AAE-8969-F9B143C7DC97}">
  <dimension ref="B5:J14"/>
  <sheetViews>
    <sheetView zoomScale="79" workbookViewId="0">
      <selection activeCell="D25" sqref="D25"/>
    </sheetView>
  </sheetViews>
  <sheetFormatPr baseColWidth="10" defaultRowHeight="14.4" x14ac:dyDescent="0.3"/>
  <cols>
    <col min="2" max="2" width="46.88671875" customWidth="1"/>
    <col min="3" max="3" width="25.21875" customWidth="1"/>
    <col min="4" max="4" width="49.77734375" customWidth="1"/>
    <col min="5" max="5" width="35.88671875" customWidth="1"/>
    <col min="6" max="6" width="31.6640625" customWidth="1"/>
    <col min="9" max="9" width="24.88671875" customWidth="1"/>
    <col min="10" max="10" width="28.109375" customWidth="1"/>
  </cols>
  <sheetData>
    <row r="5" spans="2:10" x14ac:dyDescent="0.3">
      <c r="B5" t="s">
        <v>162</v>
      </c>
      <c r="C5" t="s">
        <v>163</v>
      </c>
      <c r="D5" t="s">
        <v>1</v>
      </c>
      <c r="G5" t="s">
        <v>19</v>
      </c>
      <c r="H5" t="s">
        <v>20</v>
      </c>
    </row>
    <row r="6" spans="2:10" x14ac:dyDescent="0.3">
      <c r="B6" t="s">
        <v>129</v>
      </c>
      <c r="C6" t="s">
        <v>164</v>
      </c>
      <c r="D6" t="s">
        <v>203</v>
      </c>
    </row>
    <row r="7" spans="2:10" x14ac:dyDescent="0.3">
      <c r="B7" t="s">
        <v>129</v>
      </c>
      <c r="C7" t="s">
        <v>26</v>
      </c>
      <c r="D7" t="s">
        <v>204</v>
      </c>
      <c r="G7" t="s">
        <v>23</v>
      </c>
      <c r="H7" t="s">
        <v>9</v>
      </c>
    </row>
    <row r="8" spans="2:10" x14ac:dyDescent="0.3">
      <c r="B8" t="s">
        <v>200</v>
      </c>
      <c r="C8" t="s">
        <v>164</v>
      </c>
      <c r="D8" t="s">
        <v>201</v>
      </c>
    </row>
    <row r="9" spans="2:10" x14ac:dyDescent="0.3">
      <c r="B9" t="s">
        <v>200</v>
      </c>
      <c r="C9" t="s">
        <v>26</v>
      </c>
      <c r="D9" t="s">
        <v>202</v>
      </c>
    </row>
    <row r="10" spans="2:10" x14ac:dyDescent="0.3">
      <c r="B10" t="s">
        <v>136</v>
      </c>
      <c r="C10" t="s">
        <v>164</v>
      </c>
      <c r="D10" t="s">
        <v>165</v>
      </c>
    </row>
    <row r="11" spans="2:10" x14ac:dyDescent="0.3">
      <c r="B11" t="s">
        <v>136</v>
      </c>
      <c r="C11" t="s">
        <v>26</v>
      </c>
      <c r="D11" t="s">
        <v>166</v>
      </c>
    </row>
    <row r="12" spans="2:10" x14ac:dyDescent="0.3">
      <c r="B12" t="s">
        <v>137</v>
      </c>
      <c r="C12" t="s">
        <v>164</v>
      </c>
      <c r="D12" t="s">
        <v>167</v>
      </c>
    </row>
    <row r="13" spans="2:10" x14ac:dyDescent="0.3">
      <c r="B13" t="s">
        <v>137</v>
      </c>
      <c r="C13" t="s">
        <v>26</v>
      </c>
      <c r="D13" t="s">
        <v>168</v>
      </c>
      <c r="F13" t="s">
        <v>21</v>
      </c>
      <c r="G13" t="s">
        <v>3</v>
      </c>
      <c r="H13" t="s">
        <v>4</v>
      </c>
      <c r="I13" t="s">
        <v>170</v>
      </c>
      <c r="J13" t="s">
        <v>22</v>
      </c>
    </row>
    <row r="14" spans="2:10" x14ac:dyDescent="0.3">
      <c r="F14" t="s">
        <v>134</v>
      </c>
      <c r="G14" t="s">
        <v>23</v>
      </c>
      <c r="H14" t="s">
        <v>23</v>
      </c>
      <c r="I14" t="s">
        <v>23</v>
      </c>
      <c r="J14" t="s">
        <v>169</v>
      </c>
    </row>
  </sheetData>
  <dataValidations count="1">
    <dataValidation type="list" allowBlank="1" showInputMessage="1" showErrorMessage="1" sqref="G14:I14" xr:uid="{B38886ED-AB81-4A11-86B2-0263B000D2C1}">
      <formula1>$G$7:$H$7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BD81F-7C57-4FDF-AF75-4156CD35AB44}">
  <dimension ref="C1:J35"/>
  <sheetViews>
    <sheetView tabSelected="1" topLeftCell="A4" workbookViewId="0">
      <selection activeCell="D14" sqref="D14"/>
    </sheetView>
  </sheetViews>
  <sheetFormatPr baseColWidth="10" defaultRowHeight="14.4" x14ac:dyDescent="0.3"/>
  <cols>
    <col min="4" max="4" width="38.44140625" customWidth="1"/>
    <col min="5" max="5" width="14.88671875" bestFit="1" customWidth="1"/>
    <col min="8" max="8" width="20.5546875" customWidth="1"/>
    <col min="9" max="9" width="44.77734375" customWidth="1"/>
    <col min="10" max="10" width="52.33203125" customWidth="1"/>
    <col min="13" max="13" width="20.5546875" customWidth="1"/>
    <col min="14" max="14" width="17.5546875" customWidth="1"/>
  </cols>
  <sheetData>
    <row r="1" spans="3:10" x14ac:dyDescent="0.3">
      <c r="I1" t="s">
        <v>34</v>
      </c>
    </row>
    <row r="5" spans="3:10" x14ac:dyDescent="0.3">
      <c r="C5" t="s">
        <v>64</v>
      </c>
      <c r="D5" t="s">
        <v>65</v>
      </c>
      <c r="E5" t="s">
        <v>69</v>
      </c>
      <c r="F5" t="s">
        <v>66</v>
      </c>
      <c r="G5" t="s">
        <v>67</v>
      </c>
      <c r="H5" t="s">
        <v>68</v>
      </c>
      <c r="I5" t="s">
        <v>96</v>
      </c>
      <c r="J5" t="s">
        <v>6</v>
      </c>
    </row>
    <row r="6" spans="3:10" x14ac:dyDescent="0.3">
      <c r="D6" t="s">
        <v>98</v>
      </c>
      <c r="E6" s="2">
        <v>1</v>
      </c>
      <c r="F6">
        <v>1</v>
      </c>
      <c r="G6">
        <v>65535</v>
      </c>
      <c r="H6">
        <v>4000</v>
      </c>
      <c r="I6" t="s">
        <v>99</v>
      </c>
    </row>
    <row r="7" spans="3:10" x14ac:dyDescent="0.3">
      <c r="D7" t="s">
        <v>100</v>
      </c>
      <c r="E7" s="2">
        <v>1</v>
      </c>
      <c r="F7">
        <v>0</v>
      </c>
      <c r="G7">
        <v>65535</v>
      </c>
      <c r="H7">
        <v>2</v>
      </c>
      <c r="I7" t="s">
        <v>101</v>
      </c>
    </row>
    <row r="8" spans="3:10" x14ac:dyDescent="0.3">
      <c r="D8" t="s">
        <v>102</v>
      </c>
      <c r="E8" s="2">
        <v>1</v>
      </c>
      <c r="F8">
        <v>0</v>
      </c>
      <c r="G8">
        <v>65535</v>
      </c>
      <c r="H8">
        <v>65300</v>
      </c>
      <c r="I8" t="s">
        <v>209</v>
      </c>
      <c r="J8" t="s">
        <v>97</v>
      </c>
    </row>
    <row r="9" spans="3:10" x14ac:dyDescent="0.3">
      <c r="D9" t="s">
        <v>214</v>
      </c>
      <c r="E9" s="2">
        <v>1</v>
      </c>
      <c r="F9">
        <v>0</v>
      </c>
      <c r="G9">
        <v>65535</v>
      </c>
      <c r="H9">
        <v>50</v>
      </c>
      <c r="I9" t="s">
        <v>210</v>
      </c>
    </row>
    <row r="10" spans="3:10" x14ac:dyDescent="0.3">
      <c r="D10" t="s">
        <v>103</v>
      </c>
      <c r="E10" s="2">
        <v>1</v>
      </c>
      <c r="F10">
        <v>1</v>
      </c>
      <c r="G10">
        <v>65535</v>
      </c>
      <c r="H10">
        <v>26000</v>
      </c>
      <c r="I10" t="s">
        <v>104</v>
      </c>
    </row>
    <row r="11" spans="3:10" x14ac:dyDescent="0.3">
      <c r="D11" t="s">
        <v>105</v>
      </c>
      <c r="E11" s="2">
        <v>1</v>
      </c>
      <c r="F11">
        <v>1</v>
      </c>
      <c r="G11">
        <v>65535</v>
      </c>
      <c r="H11">
        <v>600</v>
      </c>
      <c r="I11" t="s">
        <v>106</v>
      </c>
    </row>
    <row r="12" spans="3:10" x14ac:dyDescent="0.3">
      <c r="D12" t="s">
        <v>107</v>
      </c>
      <c r="E12" s="2">
        <v>1</v>
      </c>
      <c r="F12">
        <v>0</v>
      </c>
      <c r="G12">
        <v>65535</v>
      </c>
      <c r="H12">
        <v>2</v>
      </c>
      <c r="I12" t="s">
        <v>108</v>
      </c>
    </row>
    <row r="13" spans="3:10" x14ac:dyDescent="0.3">
      <c r="D13" t="s">
        <v>109</v>
      </c>
      <c r="E13" s="2">
        <v>1</v>
      </c>
      <c r="F13">
        <v>0</v>
      </c>
      <c r="G13">
        <v>65535</v>
      </c>
      <c r="H13">
        <v>65300</v>
      </c>
      <c r="I13" t="s">
        <v>211</v>
      </c>
      <c r="J13" t="s">
        <v>97</v>
      </c>
    </row>
    <row r="14" spans="3:10" x14ac:dyDescent="0.3">
      <c r="D14" t="s">
        <v>215</v>
      </c>
      <c r="E14" s="2">
        <v>1</v>
      </c>
      <c r="F14">
        <v>0</v>
      </c>
      <c r="G14">
        <v>65535</v>
      </c>
      <c r="H14">
        <v>50</v>
      </c>
      <c r="I14" t="s">
        <v>216</v>
      </c>
    </row>
    <row r="15" spans="3:10" x14ac:dyDescent="0.3">
      <c r="D15" t="s">
        <v>110</v>
      </c>
      <c r="E15" s="2">
        <v>1</v>
      </c>
      <c r="F15">
        <v>1</v>
      </c>
      <c r="G15">
        <v>65535</v>
      </c>
      <c r="H15">
        <v>26000</v>
      </c>
      <c r="I15" t="s">
        <v>111</v>
      </c>
    </row>
    <row r="16" spans="3:10" x14ac:dyDescent="0.3">
      <c r="D16" t="s">
        <v>112</v>
      </c>
      <c r="E16" s="2">
        <v>1</v>
      </c>
      <c r="F16">
        <v>1</v>
      </c>
      <c r="G16">
        <v>65535</v>
      </c>
      <c r="H16">
        <v>600</v>
      </c>
      <c r="I16" t="s">
        <v>113</v>
      </c>
    </row>
    <row r="17" spans="4:10" x14ac:dyDescent="0.3">
      <c r="D17" t="s">
        <v>114</v>
      </c>
      <c r="E17" s="2">
        <v>1</v>
      </c>
      <c r="F17">
        <v>0</v>
      </c>
      <c r="G17">
        <v>65535</v>
      </c>
      <c r="H17">
        <v>2</v>
      </c>
      <c r="I17" t="s">
        <v>115</v>
      </c>
    </row>
    <row r="18" spans="4:10" x14ac:dyDescent="0.3">
      <c r="D18" t="s">
        <v>116</v>
      </c>
      <c r="E18" s="2">
        <v>1</v>
      </c>
      <c r="F18">
        <v>0</v>
      </c>
      <c r="G18">
        <v>65535</v>
      </c>
      <c r="H18">
        <v>65300</v>
      </c>
      <c r="I18" t="s">
        <v>212</v>
      </c>
      <c r="J18" t="s">
        <v>97</v>
      </c>
    </row>
    <row r="19" spans="4:10" x14ac:dyDescent="0.3">
      <c r="D19" t="s">
        <v>217</v>
      </c>
      <c r="E19" s="2">
        <v>1</v>
      </c>
      <c r="F19">
        <v>0</v>
      </c>
      <c r="G19">
        <v>65535</v>
      </c>
      <c r="H19">
        <v>50</v>
      </c>
      <c r="I19" t="s">
        <v>218</v>
      </c>
    </row>
    <row r="20" spans="4:10" x14ac:dyDescent="0.3">
      <c r="D20" t="s">
        <v>117</v>
      </c>
      <c r="E20" s="2">
        <v>1</v>
      </c>
      <c r="F20">
        <v>1</v>
      </c>
      <c r="G20">
        <v>65535</v>
      </c>
      <c r="H20">
        <v>26000</v>
      </c>
      <c r="I20" t="s">
        <v>118</v>
      </c>
    </row>
    <row r="21" spans="4:10" x14ac:dyDescent="0.3">
      <c r="D21" t="s">
        <v>119</v>
      </c>
      <c r="E21" s="2">
        <v>1</v>
      </c>
      <c r="F21">
        <v>1</v>
      </c>
      <c r="G21">
        <v>65535</v>
      </c>
      <c r="H21">
        <v>600</v>
      </c>
      <c r="I21" t="s">
        <v>120</v>
      </c>
    </row>
    <row r="22" spans="4:10" x14ac:dyDescent="0.3">
      <c r="D22" t="s">
        <v>121</v>
      </c>
      <c r="E22" s="2">
        <v>1</v>
      </c>
      <c r="F22">
        <v>0</v>
      </c>
      <c r="G22">
        <v>65535</v>
      </c>
      <c r="H22">
        <v>2</v>
      </c>
      <c r="I22" t="s">
        <v>122</v>
      </c>
    </row>
    <row r="23" spans="4:10" x14ac:dyDescent="0.3">
      <c r="D23" t="s">
        <v>123</v>
      </c>
      <c r="E23" s="2">
        <v>1</v>
      </c>
      <c r="F23">
        <v>0</v>
      </c>
      <c r="G23">
        <v>65535</v>
      </c>
      <c r="H23">
        <v>65300</v>
      </c>
      <c r="I23" t="s">
        <v>213</v>
      </c>
      <c r="J23" t="s">
        <v>97</v>
      </c>
    </row>
    <row r="24" spans="4:10" x14ac:dyDescent="0.3">
      <c r="D24" t="s">
        <v>219</v>
      </c>
      <c r="E24" s="2">
        <v>1</v>
      </c>
      <c r="F24">
        <v>0</v>
      </c>
      <c r="G24">
        <v>65535</v>
      </c>
      <c r="H24">
        <v>50</v>
      </c>
      <c r="I24" t="s">
        <v>220</v>
      </c>
    </row>
    <row r="25" spans="4:10" x14ac:dyDescent="0.3">
      <c r="D25" t="s">
        <v>124</v>
      </c>
      <c r="E25" s="2">
        <v>1</v>
      </c>
      <c r="F25">
        <v>1</v>
      </c>
      <c r="G25">
        <v>65535</v>
      </c>
      <c r="H25">
        <v>26000</v>
      </c>
      <c r="I25" t="s">
        <v>125</v>
      </c>
    </row>
    <row r="26" spans="4:10" x14ac:dyDescent="0.3">
      <c r="D26" t="s">
        <v>126</v>
      </c>
      <c r="E26" s="2">
        <v>1</v>
      </c>
      <c r="F26">
        <v>1</v>
      </c>
      <c r="G26">
        <v>65535</v>
      </c>
      <c r="H26">
        <v>600</v>
      </c>
      <c r="I26" t="s">
        <v>127</v>
      </c>
    </row>
    <row r="27" spans="4:10" x14ac:dyDescent="0.3">
      <c r="D27" t="s">
        <v>158</v>
      </c>
      <c r="E27" s="2">
        <v>1</v>
      </c>
      <c r="F27">
        <v>0</v>
      </c>
      <c r="G27">
        <v>65535</v>
      </c>
      <c r="H27">
        <v>0</v>
      </c>
      <c r="J27" t="s">
        <v>141</v>
      </c>
    </row>
    <row r="28" spans="4:10" x14ac:dyDescent="0.3">
      <c r="D28" t="s">
        <v>159</v>
      </c>
      <c r="E28" s="2">
        <v>1</v>
      </c>
      <c r="F28">
        <v>0</v>
      </c>
      <c r="G28">
        <v>65535</v>
      </c>
      <c r="H28">
        <v>0</v>
      </c>
      <c r="J28" t="s">
        <v>141</v>
      </c>
    </row>
    <row r="29" spans="4:10" x14ac:dyDescent="0.3">
      <c r="D29" t="s">
        <v>160</v>
      </c>
      <c r="E29" s="2">
        <v>1</v>
      </c>
      <c r="F29">
        <v>0</v>
      </c>
      <c r="G29">
        <v>65535</v>
      </c>
      <c r="H29">
        <v>0</v>
      </c>
      <c r="J29" t="s">
        <v>141</v>
      </c>
    </row>
    <row r="30" spans="4:10" x14ac:dyDescent="0.3">
      <c r="D30" t="s">
        <v>161</v>
      </c>
      <c r="E30" s="2">
        <v>1</v>
      </c>
      <c r="F30">
        <v>0</v>
      </c>
      <c r="G30">
        <v>65535</v>
      </c>
      <c r="H30">
        <v>0</v>
      </c>
      <c r="J30" t="s">
        <v>141</v>
      </c>
    </row>
    <row r="31" spans="4:10" x14ac:dyDescent="0.3">
      <c r="D31" t="s">
        <v>157</v>
      </c>
      <c r="E31" s="2">
        <v>1</v>
      </c>
      <c r="F31">
        <v>0</v>
      </c>
      <c r="G31">
        <v>65535</v>
      </c>
      <c r="H31">
        <v>1</v>
      </c>
    </row>
    <row r="32" spans="4:10" x14ac:dyDescent="0.3">
      <c r="D32" t="s">
        <v>176</v>
      </c>
      <c r="E32" s="2">
        <v>1</v>
      </c>
      <c r="F32">
        <v>0</v>
      </c>
      <c r="G32">
        <v>65535</v>
      </c>
      <c r="H32">
        <v>1</v>
      </c>
      <c r="J32" t="s">
        <v>205</v>
      </c>
    </row>
    <row r="33" spans="4:10" x14ac:dyDescent="0.3">
      <c r="D33" t="s">
        <v>177</v>
      </c>
      <c r="E33" s="2">
        <v>1</v>
      </c>
      <c r="F33">
        <v>0</v>
      </c>
      <c r="G33">
        <v>65535</v>
      </c>
      <c r="H33">
        <v>1</v>
      </c>
      <c r="J33" t="s">
        <v>208</v>
      </c>
    </row>
    <row r="34" spans="4:10" x14ac:dyDescent="0.3">
      <c r="D34" t="s">
        <v>178</v>
      </c>
      <c r="E34" s="2">
        <v>1</v>
      </c>
      <c r="F34">
        <v>0</v>
      </c>
      <c r="G34">
        <v>65535</v>
      </c>
      <c r="H34">
        <v>1</v>
      </c>
      <c r="J34" t="s">
        <v>207</v>
      </c>
    </row>
    <row r="35" spans="4:10" x14ac:dyDescent="0.3">
      <c r="D35" t="s">
        <v>179</v>
      </c>
      <c r="E35" s="2">
        <v>1</v>
      </c>
      <c r="F35">
        <v>0</v>
      </c>
      <c r="G35">
        <v>65535</v>
      </c>
      <c r="H35">
        <v>1</v>
      </c>
      <c r="J35" t="s">
        <v>206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2F0F3-B4DF-4F42-8CA3-81671DFEC473}">
  <dimension ref="B21:K38"/>
  <sheetViews>
    <sheetView topLeftCell="A15" zoomScale="90" workbookViewId="0">
      <pane xSplit="3" ySplit="7" topLeftCell="D22" activePane="bottomRight" state="frozen"/>
      <selection activeCell="A15" sqref="A15"/>
      <selection pane="topRight" activeCell="D15" sqref="D15"/>
      <selection pane="bottomLeft" activeCell="A22" sqref="A22"/>
      <selection pane="bottomRight" activeCell="H42" sqref="H42"/>
    </sheetView>
  </sheetViews>
  <sheetFormatPr baseColWidth="10" defaultRowHeight="14.4" x14ac:dyDescent="0.3"/>
  <cols>
    <col min="3" max="3" width="50.88671875" customWidth="1"/>
    <col min="4" max="4" width="13.21875" customWidth="1"/>
    <col min="5" max="5" width="38.77734375" customWidth="1"/>
    <col min="6" max="6" width="17.77734375" customWidth="1"/>
    <col min="7" max="7" width="21.88671875" customWidth="1"/>
    <col min="8" max="8" width="67.109375" customWidth="1"/>
    <col min="9" max="9" width="69.33203125" customWidth="1"/>
    <col min="10" max="10" width="46.44140625" customWidth="1"/>
    <col min="11" max="11" width="19.6640625" customWidth="1"/>
    <col min="12" max="12" width="22.33203125" customWidth="1"/>
    <col min="13" max="13" width="21.6640625" customWidth="1"/>
    <col min="14" max="14" width="25.88671875" customWidth="1"/>
    <col min="15" max="15" width="41.44140625" customWidth="1"/>
    <col min="16" max="16" width="32.77734375" customWidth="1"/>
    <col min="17" max="17" width="39.77734375" customWidth="1"/>
  </cols>
  <sheetData>
    <row r="21" spans="2:11" x14ac:dyDescent="0.3">
      <c r="B21" t="s">
        <v>42</v>
      </c>
      <c r="C21" t="s">
        <v>35</v>
      </c>
      <c r="D21" t="s">
        <v>90</v>
      </c>
      <c r="E21" t="s">
        <v>91</v>
      </c>
      <c r="F21" t="s">
        <v>36</v>
      </c>
      <c r="G21" t="s">
        <v>37</v>
      </c>
      <c r="H21" t="s">
        <v>38</v>
      </c>
      <c r="I21" t="s">
        <v>39</v>
      </c>
      <c r="J21" t="s">
        <v>40</v>
      </c>
      <c r="K21" t="s">
        <v>41</v>
      </c>
    </row>
    <row r="22" spans="2:11" x14ac:dyDescent="0.3">
      <c r="B22">
        <v>0</v>
      </c>
      <c r="C22" t="s">
        <v>50</v>
      </c>
      <c r="D22">
        <v>0</v>
      </c>
      <c r="F22" t="s">
        <v>32</v>
      </c>
      <c r="G22" t="s">
        <v>32</v>
      </c>
      <c r="I22" t="s">
        <v>51</v>
      </c>
      <c r="J22" t="s">
        <v>74</v>
      </c>
    </row>
    <row r="23" spans="2:11" x14ac:dyDescent="0.3">
      <c r="B23">
        <f>1+B22</f>
        <v>1</v>
      </c>
      <c r="C23" t="s">
        <v>92</v>
      </c>
      <c r="D23">
        <v>20</v>
      </c>
      <c r="E23">
        <v>3000</v>
      </c>
      <c r="F23" t="s">
        <v>32</v>
      </c>
      <c r="G23" t="s">
        <v>32</v>
      </c>
      <c r="I23" t="s">
        <v>93</v>
      </c>
    </row>
    <row r="24" spans="2:11" x14ac:dyDescent="0.3">
      <c r="B24">
        <f t="shared" ref="B24:B34" si="0">1+B23</f>
        <v>2</v>
      </c>
      <c r="C24" t="s">
        <v>94</v>
      </c>
      <c r="D24">
        <v>20</v>
      </c>
      <c r="E24">
        <v>3000</v>
      </c>
      <c r="F24" t="s">
        <v>32</v>
      </c>
      <c r="G24" t="s">
        <v>32</v>
      </c>
      <c r="I24" t="s">
        <v>95</v>
      </c>
    </row>
    <row r="25" spans="2:11" x14ac:dyDescent="0.3">
      <c r="B25">
        <f t="shared" si="0"/>
        <v>3</v>
      </c>
      <c r="C25" t="s">
        <v>75</v>
      </c>
      <c r="D25">
        <v>5</v>
      </c>
      <c r="E25">
        <v>5000</v>
      </c>
      <c r="F25" t="s">
        <v>32</v>
      </c>
      <c r="G25" t="s">
        <v>32</v>
      </c>
      <c r="I25" t="s">
        <v>80</v>
      </c>
      <c r="J25" t="s">
        <v>85</v>
      </c>
    </row>
    <row r="26" spans="2:11" x14ac:dyDescent="0.3">
      <c r="B26">
        <f t="shared" si="0"/>
        <v>4</v>
      </c>
      <c r="C26" t="s">
        <v>76</v>
      </c>
      <c r="D26">
        <v>5</v>
      </c>
      <c r="E26">
        <v>5000</v>
      </c>
      <c r="F26" t="s">
        <v>32</v>
      </c>
      <c r="G26" t="s">
        <v>32</v>
      </c>
      <c r="I26" t="s">
        <v>51</v>
      </c>
      <c r="J26" t="s">
        <v>84</v>
      </c>
    </row>
    <row r="27" spans="2:11" x14ac:dyDescent="0.3">
      <c r="B27">
        <f t="shared" si="0"/>
        <v>5</v>
      </c>
      <c r="C27" t="s">
        <v>77</v>
      </c>
      <c r="D27">
        <v>5</v>
      </c>
      <c r="E27">
        <v>5000</v>
      </c>
      <c r="F27" t="s">
        <v>32</v>
      </c>
      <c r="G27" t="s">
        <v>32</v>
      </c>
      <c r="I27" t="s">
        <v>82</v>
      </c>
      <c r="J27" t="s">
        <v>83</v>
      </c>
    </row>
    <row r="28" spans="2:11" x14ac:dyDescent="0.3">
      <c r="B28">
        <f t="shared" si="0"/>
        <v>6</v>
      </c>
      <c r="C28" t="s">
        <v>78</v>
      </c>
      <c r="D28">
        <v>5</v>
      </c>
      <c r="E28">
        <v>5000</v>
      </c>
      <c r="F28" t="s">
        <v>32</v>
      </c>
      <c r="G28" t="s">
        <v>32</v>
      </c>
      <c r="I28" t="s">
        <v>51</v>
      </c>
      <c r="J28" t="s">
        <v>73</v>
      </c>
    </row>
    <row r="29" spans="2:11" x14ac:dyDescent="0.3">
      <c r="B29">
        <f t="shared" si="0"/>
        <v>7</v>
      </c>
      <c r="C29" t="s">
        <v>87</v>
      </c>
      <c r="D29">
        <v>5</v>
      </c>
      <c r="E29">
        <v>5000</v>
      </c>
      <c r="F29" t="s">
        <v>32</v>
      </c>
      <c r="G29" t="s">
        <v>32</v>
      </c>
      <c r="I29" t="s">
        <v>88</v>
      </c>
      <c r="J29" t="s">
        <v>89</v>
      </c>
    </row>
    <row r="30" spans="2:11" x14ac:dyDescent="0.3">
      <c r="B30">
        <f t="shared" si="0"/>
        <v>8</v>
      </c>
      <c r="C30" t="s">
        <v>79</v>
      </c>
      <c r="D30">
        <v>5</v>
      </c>
      <c r="E30">
        <v>5000</v>
      </c>
      <c r="F30" t="s">
        <v>32</v>
      </c>
      <c r="G30" t="s">
        <v>32</v>
      </c>
      <c r="I30" t="s">
        <v>81</v>
      </c>
      <c r="J30" t="s">
        <v>86</v>
      </c>
    </row>
    <row r="31" spans="2:11" x14ac:dyDescent="0.3">
      <c r="B31">
        <f t="shared" si="0"/>
        <v>9</v>
      </c>
      <c r="C31" t="s">
        <v>54</v>
      </c>
      <c r="D31">
        <v>5</v>
      </c>
      <c r="E31">
        <v>100</v>
      </c>
      <c r="F31" t="s">
        <v>33</v>
      </c>
      <c r="G31" t="s">
        <v>33</v>
      </c>
      <c r="I31" t="s">
        <v>52</v>
      </c>
      <c r="J31" t="s">
        <v>53</v>
      </c>
    </row>
    <row r="32" spans="2:11" x14ac:dyDescent="0.3">
      <c r="B32">
        <f t="shared" si="0"/>
        <v>10</v>
      </c>
      <c r="C32" t="s">
        <v>55</v>
      </c>
      <c r="D32">
        <v>5</v>
      </c>
      <c r="E32">
        <v>100</v>
      </c>
      <c r="F32" t="s">
        <v>33</v>
      </c>
      <c r="G32" t="s">
        <v>33</v>
      </c>
      <c r="I32" t="s">
        <v>52</v>
      </c>
      <c r="J32" t="s">
        <v>53</v>
      </c>
    </row>
    <row r="33" spans="2:10" x14ac:dyDescent="0.3">
      <c r="B33">
        <f t="shared" si="0"/>
        <v>11</v>
      </c>
      <c r="C33" t="s">
        <v>56</v>
      </c>
      <c r="D33">
        <v>5</v>
      </c>
      <c r="E33">
        <v>200</v>
      </c>
      <c r="F33" t="s">
        <v>33</v>
      </c>
      <c r="G33" t="s">
        <v>32</v>
      </c>
      <c r="I33" t="s">
        <v>57</v>
      </c>
    </row>
    <row r="34" spans="2:10" x14ac:dyDescent="0.3">
      <c r="B34">
        <f t="shared" si="0"/>
        <v>12</v>
      </c>
      <c r="C34" t="s">
        <v>70</v>
      </c>
      <c r="D34">
        <v>5</v>
      </c>
      <c r="E34">
        <v>100</v>
      </c>
      <c r="F34" t="s">
        <v>33</v>
      </c>
      <c r="G34" t="s">
        <v>32</v>
      </c>
      <c r="I34" t="s">
        <v>71</v>
      </c>
      <c r="J34" t="s">
        <v>72</v>
      </c>
    </row>
    <row r="35" spans="2:10" x14ac:dyDescent="0.3">
      <c r="B35">
        <v>13</v>
      </c>
      <c r="C35" t="s">
        <v>195</v>
      </c>
      <c r="D35">
        <v>0</v>
      </c>
      <c r="E35">
        <v>500</v>
      </c>
      <c r="F35" t="s">
        <v>32</v>
      </c>
      <c r="G35" t="s">
        <v>32</v>
      </c>
      <c r="H35" t="s">
        <v>181</v>
      </c>
      <c r="I35" t="s">
        <v>196</v>
      </c>
    </row>
    <row r="36" spans="2:10" x14ac:dyDescent="0.3">
      <c r="B36">
        <v>13</v>
      </c>
      <c r="C36" t="s">
        <v>197</v>
      </c>
      <c r="D36">
        <v>0</v>
      </c>
      <c r="E36">
        <v>500</v>
      </c>
      <c r="F36" t="s">
        <v>32</v>
      </c>
      <c r="G36" t="s">
        <v>32</v>
      </c>
      <c r="H36" t="s">
        <v>182</v>
      </c>
      <c r="I36" t="s">
        <v>196</v>
      </c>
    </row>
    <row r="37" spans="2:10" x14ac:dyDescent="0.3">
      <c r="B37">
        <v>13</v>
      </c>
      <c r="C37" t="s">
        <v>198</v>
      </c>
      <c r="D37">
        <v>0</v>
      </c>
      <c r="E37">
        <v>500</v>
      </c>
      <c r="F37" t="s">
        <v>32</v>
      </c>
      <c r="G37" t="s">
        <v>32</v>
      </c>
      <c r="H37" t="s">
        <v>184</v>
      </c>
      <c r="I37" t="s">
        <v>196</v>
      </c>
    </row>
    <row r="38" spans="2:10" x14ac:dyDescent="0.3">
      <c r="B38">
        <v>13</v>
      </c>
      <c r="C38" t="s">
        <v>199</v>
      </c>
      <c r="D38">
        <v>0</v>
      </c>
      <c r="E38">
        <v>500</v>
      </c>
      <c r="F38" t="s">
        <v>32</v>
      </c>
      <c r="G38" t="s">
        <v>32</v>
      </c>
      <c r="H38" t="s">
        <v>186</v>
      </c>
      <c r="I38" t="s">
        <v>196</v>
      </c>
    </row>
  </sheetData>
  <dataValidations count="1">
    <dataValidation type="list" allowBlank="1" showInputMessage="1" showErrorMessage="1" sqref="F22:G38" xr:uid="{3697C374-BEDF-4F00-9A47-0EA233CDA5CE}">
      <formula1>"True,False"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63DE13B-044B-442A-9616-B85C2C6E1896}">
          <x14:formula1>
            <xm:f>DiagStrategy!$C$8:$C$11</xm:f>
          </x14:formula1>
          <xm:sqref>H22:H38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930D6-E293-4587-8569-3C1FC72EAEED}">
  <dimension ref="C7:G18"/>
  <sheetViews>
    <sheetView topLeftCell="B2" workbookViewId="0">
      <selection activeCell="E18" sqref="E18"/>
    </sheetView>
  </sheetViews>
  <sheetFormatPr baseColWidth="10" defaultRowHeight="14.4" x14ac:dyDescent="0.3"/>
  <cols>
    <col min="2" max="2" width="31.5546875" customWidth="1"/>
    <col min="3" max="3" width="19.6640625" customWidth="1"/>
    <col min="4" max="4" width="48.88671875" customWidth="1"/>
    <col min="5" max="5" width="29.88671875" customWidth="1"/>
    <col min="6" max="6" width="39.5546875" customWidth="1"/>
    <col min="7" max="7" width="36.33203125" customWidth="1"/>
  </cols>
  <sheetData>
    <row r="7" spans="3:7" x14ac:dyDescent="0.3">
      <c r="C7" t="s">
        <v>44</v>
      </c>
      <c r="D7" t="s">
        <v>43</v>
      </c>
      <c r="E7" t="s">
        <v>47</v>
      </c>
      <c r="F7" t="s">
        <v>48</v>
      </c>
      <c r="G7" t="s">
        <v>49</v>
      </c>
    </row>
    <row r="8" spans="3:7" x14ac:dyDescent="0.3">
      <c r="C8" t="s">
        <v>181</v>
      </c>
      <c r="D8" t="s">
        <v>180</v>
      </c>
      <c r="E8" t="s">
        <v>188</v>
      </c>
      <c r="F8" t="s">
        <v>189</v>
      </c>
      <c r="G8" t="s">
        <v>190</v>
      </c>
    </row>
    <row r="9" spans="3:7" x14ac:dyDescent="0.3">
      <c r="C9" t="s">
        <v>182</v>
      </c>
      <c r="D9" t="s">
        <v>183</v>
      </c>
      <c r="E9" t="s">
        <v>188</v>
      </c>
    </row>
    <row r="10" spans="3:7" x14ac:dyDescent="0.3">
      <c r="C10" t="s">
        <v>184</v>
      </c>
      <c r="D10" t="s">
        <v>185</v>
      </c>
      <c r="E10" t="s">
        <v>189</v>
      </c>
    </row>
    <row r="11" spans="3:7" x14ac:dyDescent="0.3">
      <c r="C11" t="s">
        <v>186</v>
      </c>
      <c r="D11" t="s">
        <v>187</v>
      </c>
      <c r="E11" t="s">
        <v>190</v>
      </c>
    </row>
    <row r="18" spans="6:6" x14ac:dyDescent="0.3">
      <c r="F18" t="s">
        <v>34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04BCB-42F0-4B6C-B5A1-E270EF88FB33}">
  <dimension ref="C5:G19"/>
  <sheetViews>
    <sheetView zoomScale="75" workbookViewId="0">
      <selection activeCell="E15" sqref="E15"/>
    </sheetView>
  </sheetViews>
  <sheetFormatPr baseColWidth="10" defaultRowHeight="14.4" x14ac:dyDescent="0.3"/>
  <cols>
    <col min="3" max="3" width="27.21875" customWidth="1"/>
    <col min="4" max="4" width="28" customWidth="1"/>
    <col min="6" max="6" width="22.44140625" customWidth="1"/>
    <col min="7" max="7" width="28.77734375" customWidth="1"/>
    <col min="8" max="8" width="32.6640625" customWidth="1"/>
    <col min="9" max="9" width="24.5546875" customWidth="1"/>
    <col min="10" max="10" width="38.33203125" customWidth="1"/>
    <col min="11" max="12" width="29.21875" customWidth="1"/>
    <col min="13" max="13" width="19.6640625" customWidth="1"/>
    <col min="14" max="14" width="29.21875" customWidth="1"/>
  </cols>
  <sheetData>
    <row r="5" spans="3:7" x14ac:dyDescent="0.3">
      <c r="C5" t="s">
        <v>45</v>
      </c>
      <c r="D5" t="s">
        <v>6</v>
      </c>
    </row>
    <row r="6" spans="3:7" x14ac:dyDescent="0.3">
      <c r="C6" t="s">
        <v>191</v>
      </c>
      <c r="D6" t="s">
        <v>63</v>
      </c>
    </row>
    <row r="16" spans="3:7" x14ac:dyDescent="0.3">
      <c r="F16" t="s">
        <v>46</v>
      </c>
      <c r="G16" t="s">
        <v>6</v>
      </c>
    </row>
    <row r="17" spans="6:7" x14ac:dyDescent="0.3">
      <c r="F17" t="s">
        <v>188</v>
      </c>
      <c r="G17" t="s">
        <v>192</v>
      </c>
    </row>
    <row r="18" spans="6:7" x14ac:dyDescent="0.3">
      <c r="F18" t="s">
        <v>189</v>
      </c>
      <c r="G18" t="s">
        <v>194</v>
      </c>
    </row>
    <row r="19" spans="6:7" x14ac:dyDescent="0.3">
      <c r="F19" t="s">
        <v>190</v>
      </c>
      <c r="G19" t="s">
        <v>193</v>
      </c>
    </row>
  </sheetData>
  <phoneticPr fontId="1" type="noConversion"/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230698-764E-4AC0-BA8F-6E94AA45E65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Machine</vt:lpstr>
      <vt:lpstr>Sensors_Drivers</vt:lpstr>
      <vt:lpstr>Actuators_Drivers</vt:lpstr>
      <vt:lpstr>Parameters</vt:lpstr>
      <vt:lpstr>Diagnostic</vt:lpstr>
      <vt:lpstr>DiagStrategy</vt:lpstr>
      <vt:lpstr>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Maxime Barbeau</dc:creator>
  <cp:lastModifiedBy>Maxime BARBEAU (CIPA4 NANTES)</cp:lastModifiedBy>
  <dcterms:created xsi:type="dcterms:W3CDTF">2024-03-11T17:08:10Z</dcterms:created>
  <dcterms:modified xsi:type="dcterms:W3CDTF">2025-08-24T19:13:33Z</dcterms:modified>
</cp:coreProperties>
</file>