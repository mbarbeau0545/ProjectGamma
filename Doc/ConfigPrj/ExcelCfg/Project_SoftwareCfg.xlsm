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/>
  <mc:AlternateContent xmlns:mc="http://schemas.openxmlformats.org/markup-compatibility/2006">
    <mc:Choice Requires="x15">
      <x15ac:absPath xmlns:x15ac="http://schemas.microsoft.com/office/spreadsheetml/2010/11/ac" url="D:\Project\Software\STM32\Gamma_fMotionPlanner\Doc\ConfigPrj\ExcelCfg\"/>
    </mc:Choice>
  </mc:AlternateContent>
  <xr:revisionPtr revIDLastSave="0" documentId="13_ncr:1_{1A2C04BF-D55A-49D6-B8D8-5741AD7C967E}" xr6:coauthVersionLast="47" xr6:coauthVersionMax="47" xr10:uidLastSave="{00000000-0000-0000-0000-000000000000}"/>
  <bookViews>
    <workbookView xWindow="-108" yWindow="-108" windowWidth="23256" windowHeight="12456" activeTab="3" xr2:uid="{D0BA3158-A968-48A5-9590-611DD8CA9BD8}"/>
  </bookViews>
  <sheets>
    <sheet name="General" sheetId="1" r:id="rId1"/>
    <sheet name="Sensors_Drivers" sheetId="2" r:id="rId2"/>
    <sheet name="Actuators_Drivers" sheetId="3" r:id="rId3"/>
    <sheet name="Parameters" sheetId="7" r:id="rId4"/>
    <sheet name="Diagnostic" sheetId="4" r:id="rId5"/>
    <sheet name="DiagStrategy" sheetId="6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4" l="1"/>
  <c r="B25" i="4"/>
  <c r="B26" i="4"/>
  <c r="B27" i="4"/>
  <c r="B28" i="4"/>
  <c r="B29" i="4" s="1"/>
  <c r="B30" i="4" s="1"/>
  <c r="B31" i="4" s="1"/>
  <c r="B32" i="4" s="1"/>
  <c r="B33" i="4" s="1"/>
  <c r="B34" i="4" s="1"/>
  <c r="B23" i="4"/>
</calcChain>
</file>

<file path=xl/sharedStrings.xml><?xml version="1.0" encoding="utf-8"?>
<sst xmlns="http://schemas.openxmlformats.org/spreadsheetml/2006/main" count="191" uniqueCount="148">
  <si>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</si>
  <si>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</si>
  <si>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</si>
  <si>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</si>
  <si>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</si>
  <si>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</si>
  <si>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</si>
  <si>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</si>
  <si>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</si>
  <si>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</si>
  <si>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</si>
  <si>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</si>
  <si>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</si>
  <si>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</si>
  <si>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</si>
  <si>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</si>
  <si>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</si>
  <si>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</si>
  <si>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</si>
  <si>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</si>
  <si>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</si>
  <si>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</si>
  <si>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</si>
  <si>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</si>
  <si>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</si>
  <si>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</si>
  <si>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</si>
  <si>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</si>
  <si>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</si>
  <si>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</si>
  <si>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</si>
  <si>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</si>
  <si>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</si>
  <si>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</si>
  <si>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</si>
  <si>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</si>
  <si>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</si>
  <si>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</si>
  <si>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</si>
  <si>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</si>
  <si>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</si>
  <si>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</si>
  <si>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</si>
  <si>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</si>
  <si>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</si>
  <si>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</si>
  <si>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</si>
  <si>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</si>
  <si>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</si>
  <si>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</si>
  <si>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</si>
  <si>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</si>
  <si>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</si>
  <si>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ActDependencie_1</t>
  </si>
  <si>
    <t>ActDependencie_2</t>
  </si>
  <si>
    <t>Srv 1</t>
  </si>
  <si>
    <t>Srv 2</t>
  </si>
  <si>
    <t>Srv 3</t>
  </si>
  <si>
    <t>FMK_CFG_ERROR</t>
  </si>
  <si>
    <t>Enum Module from t_eAppSys_ModuleList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</si>
  <si>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</si>
  <si>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</si>
  <si>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</si>
  <si>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</si>
  <si>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</si>
  <si>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</si>
  <si>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SoVersion</t>
  </si>
  <si>
    <t>SubSoVersion</t>
  </si>
  <si>
    <t>01</t>
  </si>
  <si>
    <t>ECU ID</t>
  </si>
  <si>
    <t>0x45689657</t>
  </si>
  <si>
    <t>Gère la gestion du gantry</t>
  </si>
  <si>
    <t>Id</t>
  </si>
  <si>
    <t>NOM_SOFTWARE</t>
  </si>
  <si>
    <t>MIN</t>
  </si>
  <si>
    <t>MAX</t>
  </si>
  <si>
    <t>DEFAULT</t>
  </si>
  <si>
    <t>VERSION</t>
  </si>
  <si>
    <t>APPSIG_MSG_TIMEOUT</t>
  </si>
  <si>
    <t>idx of the message</t>
  </si>
  <si>
    <t>type of the message</t>
  </si>
  <si>
    <t xml:space="preserve">module  error </t>
  </si>
  <si>
    <t>module error</t>
  </si>
  <si>
    <t>FMK_FDCAN_OPE_ERROR</t>
  </si>
  <si>
    <t>FMK_SRL_OPE_ERROR</t>
  </si>
  <si>
    <t>FMK_HRT_OPE_ERROR</t>
  </si>
  <si>
    <t>FMK_TIM_OPE_ERROR</t>
  </si>
  <si>
    <t>FMK_CPU_OPE_ERROR</t>
  </si>
  <si>
    <t>General Error = 0, Fifo Rx Error = 1, Fifo Tx Error = 2</t>
  </si>
  <si>
    <t>[0:7] - Dma channel, [8:15] - Dma controller</t>
  </si>
  <si>
    <t>High Resolution instance</t>
  </si>
  <si>
    <t>error from HAL_HRTIM_StateTypeDef</t>
  </si>
  <si>
    <t>error from t_eFMKSRL_LineHealth</t>
  </si>
  <si>
    <t>Error from t_eFMKFDCAN_NodeStatus</t>
  </si>
  <si>
    <t>error from t_eFMKCPU_DmaChnlErr</t>
  </si>
  <si>
    <t>FMK_CDA_OPE_ERROR</t>
  </si>
  <si>
    <t>Idx Adc</t>
  </si>
  <si>
    <t>error from t_eFMKCDA_AdcErrState</t>
  </si>
  <si>
    <t>DebuncerCnt</t>
  </si>
  <si>
    <t>Stay Active Ms if no news</t>
  </si>
  <si>
    <t>FMK_CPU_TEMP_OUT_OF_RANGE</t>
  </si>
  <si>
    <t xml:space="preserve">temperature of the cpu </t>
  </si>
  <si>
    <t>FMK_SUPPLY_VOLTAGE_OUT_OF_RANGE</t>
  </si>
  <si>
    <t>Voltage of the cpu * 10</t>
  </si>
  <si>
    <t>Signal ID (from APPSIG)</t>
  </si>
  <si>
    <t>MTR_XL_SPEED_MIN</t>
  </si>
  <si>
    <t>MTR_XL_SPEED_MAX</t>
  </si>
  <si>
    <t>MTR_XR_SPEED_MIN</t>
  </si>
  <si>
    <t>MTR_XR_SPEED_MAX</t>
  </si>
  <si>
    <t>MTR_Y_SPEED_MIN</t>
  </si>
  <si>
    <t>MTR_Y_SPEED_MAX</t>
  </si>
  <si>
    <t>MTR_Z_SPEED_MIN</t>
  </si>
  <si>
    <t>MTR_Z_SPEED_MAX</t>
  </si>
  <si>
    <t>MTR_PULSE_ITER_MAX</t>
  </si>
  <si>
    <t>MTR_XL_RAMP_CTRL_SLOP_SPEED</t>
  </si>
  <si>
    <t>MTR_XR_RAMP_CTRL_SLOP_SPEED</t>
  </si>
  <si>
    <t>MTR_Y_RAMP_CTRL_SLOP_SPEED</t>
  </si>
  <si>
    <t>MTR_Z_RAMP_CTRL_SLOP_SPEED</t>
  </si>
  <si>
    <t>it's multiply by 2 in AppSig</t>
  </si>
  <si>
    <t>MTR_XL_RAMP_CTRL_KFACTOR</t>
  </si>
  <si>
    <t>MTR_XR_RAMP_CTRL_KFACTOR</t>
  </si>
  <si>
    <t>MTR_Y_RAMP_CTRL_KFACTOR</t>
  </si>
  <si>
    <t>MTR_Z_RAMP_CTRL_KFACTOR</t>
  </si>
  <si>
    <t>MTR_XL_RAMP_CTRL_TOTAL_STEP</t>
  </si>
  <si>
    <t>MTR_XR_RAMP_CTRL_TOTAL_STEP</t>
  </si>
  <si>
    <t>MTR_Y_RAMP_CTRL_TOTAL_STEP</t>
  </si>
  <si>
    <t>MTR_Z_RAMP_CTRL_TOTAL_STEP</t>
  </si>
  <si>
    <t>PRM_MTR_XL_SPEED_MAX</t>
  </si>
  <si>
    <t>PRM_MTR_XR_RAMP_CTRL_KFACTOR</t>
  </si>
  <si>
    <t>PRM_MTR_XR_RAMP_CTRL_SLOP_SPEED</t>
  </si>
  <si>
    <t>PRM_MTR_XR_RAMP_CTRL_TOTAL_STEP</t>
  </si>
  <si>
    <t>PRM_MTR_Y_RAMP_CTRL_KFACTOR</t>
  </si>
  <si>
    <t>PRM_MTR_Y_RAMP_CTRL_SLOP_SPEED</t>
  </si>
  <si>
    <t>PRM_MTR_Y_RAMP_CTRL_TOTAL_STEP</t>
  </si>
  <si>
    <t>PRM_MTR_Z_RAMP_CTRL_KFACTOR</t>
  </si>
  <si>
    <t>PRM_MTR_Z_RAMP_CTRL_SLOP_SPEED</t>
  </si>
  <si>
    <t>PRM_MTR_Z_RAMP_CTRL_TOTAL_STEP</t>
  </si>
  <si>
    <t>PRM_MTR_PULSE_ITER_MAX</t>
  </si>
  <si>
    <t>PRM_MTR_XL_RAMP_CTRL_KFACTOR</t>
  </si>
  <si>
    <t>PRM_MTR_XL_RAMP_CTRL_SLOP_SPEED</t>
  </si>
  <si>
    <t>PRM_MTR_XL_RAMP_CTRL_TOTAL_STEP</t>
  </si>
  <si>
    <t>PRM_MTR_XL_SPEED_MIN</t>
  </si>
  <si>
    <t>PRM_MTR_XR_SPEED_MAX</t>
  </si>
  <si>
    <t>PRM_MTR_XR_SPEED_MIN</t>
  </si>
  <si>
    <t>PRM_MTR_Y_SPEED_MAX</t>
  </si>
  <si>
    <t>PRM_MTR_Y_SPEED_MIN</t>
  </si>
  <si>
    <t>PRM_MTR_Z_SPEED_MAX</t>
  </si>
  <si>
    <t>PRM_MTR_Z_SPEED_MIN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</si>
</sst>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5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E6" totalsRowShown="0" dataDxfId="4">
  <autoFilter ref="C5:E6" xr:uid="{9E7D1695-41E1-4B3F-AF19-9C465D64B382}"/>
  <tableColumns count="3">
    <tableColumn id="1" xr3:uid="{D018933D-AFCC-4CCF-9485-3F5118AE0ABA}" name="SoVersion" dataDxfId="3"/>
    <tableColumn id="2" xr3:uid="{83F6082B-7FBF-4DF5-8C27-D489E6D27C97}" name="SubSoVersion" dataDxfId="2"/>
    <tableColumn id="3" xr3:uid="{6155E057-4AE4-4CC7-88F0-74C5D2AB6240}" name="ECU ID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I13:M14" totalsRowShown="0">
  <autoFilter ref="I13:M14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6" totalsRowShown="0">
  <autoFilter ref="B5:D6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insertRow="1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6FB401A-9B85-4726-A494-B67658AD2F23}" name="AppSpm_PrmInfo" displayName="AppSpm_PrmInfo" ref="C5:J26" totalsRowShown="0">
  <autoFilter ref="C5:J26" xr:uid="{A6FB401A-9B85-4726-A494-B67658AD2F23}"/>
  <sortState xmlns:xlrd2="http://schemas.microsoft.com/office/spreadsheetml/2017/richdata2" ref="C6:J26">
    <sortCondition ref="D5:D26"/>
  </sortState>
  <tableColumns count="8">
    <tableColumn id="1" xr3:uid="{448BB497-E454-46C8-8957-3AAD9C45BE7B}" name="Id"/>
    <tableColumn id="2" xr3:uid="{0C20BA62-28CE-48FB-B267-D9DAF5F168DB}" name="NOM_SOFTWARE"/>
    <tableColumn id="7" xr3:uid="{7562A698-69A8-4A56-A13C-E3DCB3001DE8}" name="VERSION" dataDxfId="0"/>
    <tableColumn id="3" xr3:uid="{41B19A92-EB20-42ED-951F-E094ED136643}" name="MIN"/>
    <tableColumn id="4" xr3:uid="{06CC40FA-EEB5-4319-AD79-B390B078B611}" name="MAX"/>
    <tableColumn id="5" xr3:uid="{25F2569F-2DE8-4504-B133-3591E5173A9A}" name="DEFAULT"/>
    <tableColumn id="8" xr3:uid="{AA8752E1-683B-4C53-AF9F-9998845C351A}" name="Signal ID (from APPSIG)"/>
    <tableColumn id="6" xr3:uid="{7EC00DFB-398D-4ED3-884A-232DE2D0D22E}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B21:K34" totalsRowShown="0">
  <autoFilter ref="B21:K34" xr:uid="{B1473292-4F3B-4CB8-B395-514270FECF8E}"/>
  <tableColumns count="10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Cnt"/>
    <tableColumn id="11" xr3:uid="{9AF35E69-18F6-4C4B-BEE9-9119286C3E87}" name="Stay Active Ms if no new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8" insertRow="1" totalsRowShown="0">
  <autoFilter ref="C7:G8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I17" totalsRowShown="0">
  <autoFilter ref="F16:I17" xr:uid="{7F3EE644-AA5B-46B2-BCAD-DC36BC874E21}"/>
  <tableColumns count="4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E6"/>
  <sheetViews>
    <sheetView zoomScale="149" workbookViewId="0">
      <selection activeCell="F6" sqref="F6"/>
    </sheetView>
  </sheetViews>
  <sheetFormatPr baseColWidth="10" defaultRowHeight="14.4" x14ac:dyDescent="0.3"/>
  <cols>
    <col min="3" max="3" width="17.6640625" customWidth="1"/>
    <col min="4" max="4" width="18.44140625" customWidth="1"/>
    <col min="5" max="5" width="23.21875" customWidth="1"/>
  </cols>
  <sheetData>
    <row r="5" spans="3:5" x14ac:dyDescent="0.3">
      <c r="C5" t="s">
        <v>66</v>
      </c>
      <c r="D5" t="s">
        <v>67</v>
      </c>
      <c r="E5" t="s">
        <v>69</v>
      </c>
    </row>
    <row r="6" spans="3:5" x14ac:dyDescent="0.3">
      <c r="C6" s="1" t="s">
        <v>68</v>
      </c>
      <c r="D6" s="1" t="s">
        <v>68</v>
      </c>
      <c r="E6" s="1" t="s">
        <v>70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zoomScale="98" workbookViewId="0">
      <selection activeCell="B4" sqref="B4:E4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13" x14ac:dyDescent="0.3">
      <c r="B3" t="s">
        <v>6</v>
      </c>
      <c r="C3" t="s">
        <v>2</v>
      </c>
      <c r="D3" t="s">
        <v>3</v>
      </c>
      <c r="E3" t="s">
        <v>0</v>
      </c>
    </row>
    <row r="13" spans="2:13" x14ac:dyDescent="0.3">
      <c r="I13" t="s">
        <v>7</v>
      </c>
      <c r="J13" t="s">
        <v>8</v>
      </c>
      <c r="K13" t="s">
        <v>9</v>
      </c>
      <c r="L13" t="s">
        <v>27</v>
      </c>
      <c r="M13" t="s">
        <v>11</v>
      </c>
    </row>
    <row r="22" spans="9:13" x14ac:dyDescent="0.3">
      <c r="I22" t="s">
        <v>10</v>
      </c>
      <c r="J22" t="s">
        <v>11</v>
      </c>
    </row>
    <row r="23" spans="9:13" x14ac:dyDescent="0.3">
      <c r="I23" t="s">
        <v>12</v>
      </c>
      <c r="J23" t="s">
        <v>13</v>
      </c>
    </row>
    <row r="24" spans="9:13" x14ac:dyDescent="0.3">
      <c r="I24" t="s">
        <v>30</v>
      </c>
      <c r="J24" t="s">
        <v>16</v>
      </c>
      <c r="L24" t="s">
        <v>15</v>
      </c>
      <c r="M24" t="s">
        <v>14</v>
      </c>
    </row>
    <row r="25" spans="9:13" x14ac:dyDescent="0.3">
      <c r="I25" t="s">
        <v>31</v>
      </c>
      <c r="J25" t="s">
        <v>17</v>
      </c>
    </row>
    <row r="26" spans="9:13" x14ac:dyDescent="0.3">
      <c r="I26" t="s">
        <v>32</v>
      </c>
      <c r="J26" t="s">
        <v>18</v>
      </c>
      <c r="L26" t="s">
        <v>24</v>
      </c>
      <c r="M26" t="s">
        <v>25</v>
      </c>
    </row>
    <row r="27" spans="9:13" x14ac:dyDescent="0.3">
      <c r="I27" t="s">
        <v>33</v>
      </c>
      <c r="J27" t="s">
        <v>19</v>
      </c>
    </row>
    <row r="28" spans="9:13" x14ac:dyDescent="0.3">
      <c r="I28" t="s">
        <v>34</v>
      </c>
      <c r="J28" t="s">
        <v>20</v>
      </c>
    </row>
    <row r="29" spans="9:13" x14ac:dyDescent="0.3">
      <c r="I29" t="s">
        <v>35</v>
      </c>
      <c r="J29" t="s">
        <v>21</v>
      </c>
    </row>
    <row r="30" spans="9:13" x14ac:dyDescent="0.3">
      <c r="I30" t="s">
        <v>36</v>
      </c>
      <c r="J30" t="s">
        <v>22</v>
      </c>
    </row>
    <row r="31" spans="9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J14:K14" xr:uid="{F7AAAA20-4A68-4C1A-9530-746FCEA6F7D1}">
      <formula1>$L$24:$M$24</formula1>
    </dataValidation>
    <dataValidation type="list" allowBlank="1" showInputMessage="1" showErrorMessage="1" sqref="L14 D4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3"/>
  <sheetViews>
    <sheetView zoomScale="110" workbookViewId="0">
      <selection activeCell="C7" sqref="C7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10" max="10" width="28.10937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7" spans="2:10" x14ac:dyDescent="0.3">
      <c r="G7" t="s">
        <v>29</v>
      </c>
      <c r="H7" t="s">
        <v>14</v>
      </c>
    </row>
    <row r="13" spans="2:10" x14ac:dyDescent="0.3">
      <c r="F13" t="s">
        <v>26</v>
      </c>
      <c r="G13" t="s">
        <v>8</v>
      </c>
      <c r="H13" t="s">
        <v>9</v>
      </c>
      <c r="I13" t="s">
        <v>27</v>
      </c>
      <c r="J13" t="s">
        <v>28</v>
      </c>
    </row>
  </sheetData>
  <dataValidations count="2">
    <dataValidation type="list" allowBlank="1" showInputMessage="1" showErrorMessage="1" sqref="I14 C6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1:J26"/>
  <sheetViews>
    <sheetView tabSelected="1" topLeftCell="A2" workbookViewId="0">
      <selection activeCell="H28" sqref="H28"/>
    </sheetView>
  </sheetViews>
  <sheetFormatPr baseColWidth="10" defaultRowHeight="14.4" x14ac:dyDescent="0.3"/>
  <cols>
    <col min="4" max="4" width="38.44140625" customWidth="1"/>
    <col min="5" max="5" width="14.88671875" bestFit="1" customWidth="1"/>
    <col min="8" max="8" width="20.5546875" customWidth="1"/>
    <col min="9" max="9" width="38.109375" customWidth="1"/>
    <col min="10" max="10" width="27.33203125" customWidth="1"/>
    <col min="13" max="13" width="20.5546875" customWidth="1"/>
    <col min="14" max="14" width="17.5546875" customWidth="1"/>
  </cols>
  <sheetData>
    <row r="1" spans="3:10" x14ac:dyDescent="0.3">
      <c r="I1" t="s">
        <v>40</v>
      </c>
    </row>
    <row r="5" spans="3:10" x14ac:dyDescent="0.3">
      <c r="C5" t="s">
        <v>72</v>
      </c>
      <c r="D5" t="s">
        <v>73</v>
      </c>
      <c r="E5" t="s">
        <v>77</v>
      </c>
      <c r="F5" t="s">
        <v>74</v>
      </c>
      <c r="G5" t="s">
        <v>75</v>
      </c>
      <c r="H5" t="s">
        <v>76</v>
      </c>
      <c r="I5" t="s">
        <v>104</v>
      </c>
      <c r="J5" t="s">
        <v>11</v>
      </c>
    </row>
    <row r="6" spans="3:10" x14ac:dyDescent="0.3">
      <c r="D6" t="s">
        <v>113</v>
      </c>
      <c r="E6" s="2">
        <v>1</v>
      </c>
      <c r="F6">
        <v>1</v>
      </c>
      <c r="G6">
        <v>65535</v>
      </c>
      <c r="H6">
        <v>4000</v>
      </c>
      <c r="I6" t="s">
        <v>137</v>
      </c>
    </row>
    <row r="7" spans="3:10" x14ac:dyDescent="0.3">
      <c r="D7" t="s">
        <v>119</v>
      </c>
      <c r="E7" s="2">
        <v>1</v>
      </c>
      <c r="F7">
        <v>0</v>
      </c>
      <c r="G7">
        <v>65535</v>
      </c>
      <c r="H7">
        <v>2</v>
      </c>
      <c r="I7" t="s">
        <v>138</v>
      </c>
    </row>
    <row r="8" spans="3:10" x14ac:dyDescent="0.3">
      <c r="D8" t="s">
        <v>114</v>
      </c>
      <c r="E8" s="2">
        <v>1</v>
      </c>
      <c r="F8">
        <v>0</v>
      </c>
      <c r="G8">
        <v>65535</v>
      </c>
      <c r="H8">
        <v>65300</v>
      </c>
      <c r="I8" t="s">
        <v>139</v>
      </c>
      <c r="J8" t="s">
        <v>118</v>
      </c>
    </row>
    <row r="9" spans="3:10" x14ac:dyDescent="0.3">
      <c r="D9" t="s">
        <v>123</v>
      </c>
      <c r="E9" s="2">
        <v>1</v>
      </c>
      <c r="F9">
        <v>0</v>
      </c>
      <c r="G9">
        <v>65535</v>
      </c>
      <c r="H9">
        <v>50</v>
      </c>
      <c r="I9" t="s">
        <v>140</v>
      </c>
    </row>
    <row r="10" spans="3:10" x14ac:dyDescent="0.3">
      <c r="D10" t="s">
        <v>106</v>
      </c>
      <c r="E10" s="2">
        <v>1</v>
      </c>
      <c r="F10">
        <v>1</v>
      </c>
      <c r="G10">
        <v>65535</v>
      </c>
      <c r="H10">
        <v>26000</v>
      </c>
      <c r="I10" t="s">
        <v>127</v>
      </c>
    </row>
    <row r="11" spans="3:10" x14ac:dyDescent="0.3">
      <c r="D11" t="s">
        <v>105</v>
      </c>
      <c r="E11" s="2">
        <v>1</v>
      </c>
      <c r="F11">
        <v>1</v>
      </c>
      <c r="G11">
        <v>65535</v>
      </c>
      <c r="H11">
        <v>600</v>
      </c>
      <c r="I11" t="s">
        <v>141</v>
      </c>
    </row>
    <row r="12" spans="3:10" x14ac:dyDescent="0.3">
      <c r="D12" t="s">
        <v>120</v>
      </c>
      <c r="E12" s="2">
        <v>1</v>
      </c>
      <c r="F12">
        <v>0</v>
      </c>
      <c r="G12">
        <v>65535</v>
      </c>
      <c r="H12">
        <v>2</v>
      </c>
      <c r="I12" t="s">
        <v>128</v>
      </c>
    </row>
    <row r="13" spans="3:10" x14ac:dyDescent="0.3">
      <c r="D13" t="s">
        <v>115</v>
      </c>
      <c r="E13" s="2">
        <v>1</v>
      </c>
      <c r="F13">
        <v>0</v>
      </c>
      <c r="G13">
        <v>65535</v>
      </c>
      <c r="H13">
        <v>65300</v>
      </c>
      <c r="I13" t="s">
        <v>129</v>
      </c>
      <c r="J13" t="s">
        <v>118</v>
      </c>
    </row>
    <row r="14" spans="3:10" x14ac:dyDescent="0.3">
      <c r="D14" t="s">
        <v>124</v>
      </c>
      <c r="E14" s="2">
        <v>1</v>
      </c>
      <c r="F14">
        <v>0</v>
      </c>
      <c r="G14">
        <v>65535</v>
      </c>
      <c r="H14">
        <v>50</v>
      </c>
      <c r="I14" t="s">
        <v>130</v>
      </c>
    </row>
    <row r="15" spans="3:10" x14ac:dyDescent="0.3">
      <c r="D15" t="s">
        <v>108</v>
      </c>
      <c r="E15" s="2">
        <v>1</v>
      </c>
      <c r="F15">
        <v>1</v>
      </c>
      <c r="G15">
        <v>65535</v>
      </c>
      <c r="H15">
        <v>26000</v>
      </c>
      <c r="I15" t="s">
        <v>142</v>
      </c>
    </row>
    <row r="16" spans="3:10" x14ac:dyDescent="0.3">
      <c r="D16" t="s">
        <v>107</v>
      </c>
      <c r="E16" s="2">
        <v>1</v>
      </c>
      <c r="F16">
        <v>1</v>
      </c>
      <c r="G16">
        <v>65535</v>
      </c>
      <c r="H16">
        <v>600</v>
      </c>
      <c r="I16" t="s">
        <v>143</v>
      </c>
    </row>
    <row r="17" spans="4:10" x14ac:dyDescent="0.3">
      <c r="D17" t="s">
        <v>121</v>
      </c>
      <c r="E17" s="2">
        <v>1</v>
      </c>
      <c r="F17">
        <v>0</v>
      </c>
      <c r="G17">
        <v>65535</v>
      </c>
      <c r="H17">
        <v>2</v>
      </c>
      <c r="I17" t="s">
        <v>131</v>
      </c>
    </row>
    <row r="18" spans="4:10" x14ac:dyDescent="0.3">
      <c r="D18" t="s">
        <v>116</v>
      </c>
      <c r="E18" s="2">
        <v>1</v>
      </c>
      <c r="F18">
        <v>0</v>
      </c>
      <c r="G18">
        <v>65535</v>
      </c>
      <c r="H18">
        <v>65300</v>
      </c>
      <c r="I18" t="s">
        <v>132</v>
      </c>
      <c r="J18" t="s">
        <v>118</v>
      </c>
    </row>
    <row r="19" spans="4:10" x14ac:dyDescent="0.3">
      <c r="D19" t="s">
        <v>125</v>
      </c>
      <c r="E19" s="2">
        <v>1</v>
      </c>
      <c r="F19">
        <v>0</v>
      </c>
      <c r="G19">
        <v>65535</v>
      </c>
      <c r="H19">
        <v>50</v>
      </c>
      <c r="I19" t="s">
        <v>133</v>
      </c>
    </row>
    <row r="20" spans="4:10" x14ac:dyDescent="0.3">
      <c r="D20" t="s">
        <v>110</v>
      </c>
      <c r="E20" s="2">
        <v>1</v>
      </c>
      <c r="F20">
        <v>1</v>
      </c>
      <c r="G20">
        <v>65535</v>
      </c>
      <c r="H20">
        <v>26000</v>
      </c>
      <c r="I20" t="s">
        <v>144</v>
      </c>
    </row>
    <row r="21" spans="4:10" x14ac:dyDescent="0.3">
      <c r="D21" t="s">
        <v>109</v>
      </c>
      <c r="E21" s="2">
        <v>1</v>
      </c>
      <c r="F21">
        <v>1</v>
      </c>
      <c r="G21">
        <v>65535</v>
      </c>
      <c r="H21">
        <v>600</v>
      </c>
      <c r="I21" t="s">
        <v>145</v>
      </c>
    </row>
    <row r="22" spans="4:10" x14ac:dyDescent="0.3">
      <c r="D22" t="s">
        <v>122</v>
      </c>
      <c r="E22" s="2">
        <v>1</v>
      </c>
      <c r="F22">
        <v>0</v>
      </c>
      <c r="G22">
        <v>65535</v>
      </c>
      <c r="H22">
        <v>2</v>
      </c>
      <c r="I22" t="s">
        <v>134</v>
      </c>
    </row>
    <row r="23" spans="4:10" x14ac:dyDescent="0.3">
      <c r="D23" t="s">
        <v>117</v>
      </c>
      <c r="E23" s="2">
        <v>1</v>
      </c>
      <c r="F23">
        <v>0</v>
      </c>
      <c r="G23">
        <v>65535</v>
      </c>
      <c r="H23">
        <v>65300</v>
      </c>
      <c r="I23" t="s">
        <v>135</v>
      </c>
      <c r="J23" t="s">
        <v>118</v>
      </c>
    </row>
    <row r="24" spans="4:10" x14ac:dyDescent="0.3">
      <c r="D24" t="s">
        <v>126</v>
      </c>
      <c r="E24" s="2">
        <v>1</v>
      </c>
      <c r="F24">
        <v>0</v>
      </c>
      <c r="G24">
        <v>65535</v>
      </c>
      <c r="H24">
        <v>50</v>
      </c>
      <c r="I24" t="s">
        <v>136</v>
      </c>
    </row>
    <row r="25" spans="4:10" x14ac:dyDescent="0.3">
      <c r="D25" t="s">
        <v>112</v>
      </c>
      <c r="E25" s="2">
        <v>1</v>
      </c>
      <c r="F25">
        <v>1</v>
      </c>
      <c r="G25">
        <v>65535</v>
      </c>
      <c r="H25">
        <v>26000</v>
      </c>
      <c r="I25" t="s">
        <v>146</v>
      </c>
    </row>
    <row r="26" spans="4:10" x14ac:dyDescent="0.3">
      <c r="D26" t="s">
        <v>111</v>
      </c>
      <c r="E26" s="2">
        <v>1</v>
      </c>
      <c r="F26">
        <v>1</v>
      </c>
      <c r="G26">
        <v>65535</v>
      </c>
      <c r="H26">
        <v>600</v>
      </c>
      <c r="I26" t="s">
        <v>147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B21:K34"/>
  <sheetViews>
    <sheetView topLeftCell="A15" zoomScale="117" workbookViewId="0">
      <pane xSplit="3" ySplit="7" topLeftCell="I22" activePane="bottomRight" state="frozen"/>
      <selection activeCell="A15" sqref="A15"/>
      <selection pane="topRight" activeCell="D15" sqref="D15"/>
      <selection pane="bottomLeft" activeCell="A22" sqref="A22"/>
      <selection pane="bottomRight" activeCell="I25" sqref="I25"/>
    </sheetView>
  </sheetViews>
  <sheetFormatPr baseColWidth="10" defaultRowHeight="14.4" x14ac:dyDescent="0.3"/>
  <cols>
    <col min="3" max="3" width="50.88671875" customWidth="1"/>
    <col min="4" max="4" width="13.21875" customWidth="1"/>
    <col min="5" max="5" width="38.77734375" customWidth="1"/>
    <col min="7" max="7" width="9.33203125" customWidth="1"/>
    <col min="8" max="8" width="67.109375" customWidth="1"/>
    <col min="9" max="9" width="69.3320312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2:11" x14ac:dyDescent="0.3">
      <c r="B21" t="s">
        <v>48</v>
      </c>
      <c r="C21" t="s">
        <v>41</v>
      </c>
      <c r="D21" t="s">
        <v>98</v>
      </c>
      <c r="E21" t="s">
        <v>99</v>
      </c>
      <c r="F21" t="s">
        <v>42</v>
      </c>
      <c r="G21" t="s">
        <v>43</v>
      </c>
      <c r="H21" t="s">
        <v>44</v>
      </c>
      <c r="I21" t="s">
        <v>45</v>
      </c>
      <c r="J21" t="s">
        <v>46</v>
      </c>
      <c r="K21" t="s">
        <v>47</v>
      </c>
    </row>
    <row r="22" spans="2:11" x14ac:dyDescent="0.3">
      <c r="B22">
        <v>0</v>
      </c>
      <c r="C22" t="s">
        <v>58</v>
      </c>
      <c r="D22">
        <v>0</v>
      </c>
      <c r="F22" t="s">
        <v>38</v>
      </c>
      <c r="G22" t="s">
        <v>38</v>
      </c>
      <c r="I22" t="s">
        <v>59</v>
      </c>
      <c r="J22" t="s">
        <v>82</v>
      </c>
    </row>
    <row r="23" spans="2:11" x14ac:dyDescent="0.3">
      <c r="B23">
        <f>1+B22</f>
        <v>1</v>
      </c>
      <c r="C23" t="s">
        <v>100</v>
      </c>
      <c r="D23">
        <v>20</v>
      </c>
      <c r="E23">
        <v>3000</v>
      </c>
      <c r="F23" t="s">
        <v>38</v>
      </c>
      <c r="G23" t="s">
        <v>38</v>
      </c>
      <c r="I23" t="s">
        <v>101</v>
      </c>
    </row>
    <row r="24" spans="2:11" x14ac:dyDescent="0.3">
      <c r="B24">
        <f t="shared" ref="B24:B34" si="0">1+B23</f>
        <v>2</v>
      </c>
      <c r="C24" t="s">
        <v>102</v>
      </c>
      <c r="D24">
        <v>20</v>
      </c>
      <c r="E24">
        <v>3000</v>
      </c>
      <c r="F24" t="s">
        <v>38</v>
      </c>
      <c r="G24" t="s">
        <v>38</v>
      </c>
      <c r="I24" t="s">
        <v>103</v>
      </c>
    </row>
    <row r="25" spans="2:11" x14ac:dyDescent="0.3">
      <c r="B25">
        <f t="shared" si="0"/>
        <v>3</v>
      </c>
      <c r="C25" t="s">
        <v>83</v>
      </c>
      <c r="D25">
        <v>5</v>
      </c>
      <c r="E25">
        <v>5000</v>
      </c>
      <c r="F25" t="s">
        <v>38</v>
      </c>
      <c r="G25" t="s">
        <v>38</v>
      </c>
      <c r="I25" t="s">
        <v>88</v>
      </c>
      <c r="J25" t="s">
        <v>93</v>
      </c>
    </row>
    <row r="26" spans="2:11" x14ac:dyDescent="0.3">
      <c r="B26">
        <f t="shared" si="0"/>
        <v>4</v>
      </c>
      <c r="C26" t="s">
        <v>84</v>
      </c>
      <c r="D26">
        <v>5</v>
      </c>
      <c r="E26">
        <v>5000</v>
      </c>
      <c r="F26" t="s">
        <v>38</v>
      </c>
      <c r="G26" t="s">
        <v>38</v>
      </c>
      <c r="I26" t="s">
        <v>59</v>
      </c>
      <c r="J26" t="s">
        <v>92</v>
      </c>
    </row>
    <row r="27" spans="2:11" x14ac:dyDescent="0.3">
      <c r="B27">
        <f t="shared" si="0"/>
        <v>5</v>
      </c>
      <c r="C27" t="s">
        <v>85</v>
      </c>
      <c r="D27">
        <v>5</v>
      </c>
      <c r="E27">
        <v>5000</v>
      </c>
      <c r="F27" t="s">
        <v>38</v>
      </c>
      <c r="G27" t="s">
        <v>38</v>
      </c>
      <c r="I27" t="s">
        <v>90</v>
      </c>
      <c r="J27" t="s">
        <v>91</v>
      </c>
    </row>
    <row r="28" spans="2:11" x14ac:dyDescent="0.3">
      <c r="B28">
        <f t="shared" si="0"/>
        <v>6</v>
      </c>
      <c r="C28" t="s">
        <v>86</v>
      </c>
      <c r="D28">
        <v>5</v>
      </c>
      <c r="E28">
        <v>5000</v>
      </c>
      <c r="F28" t="s">
        <v>38</v>
      </c>
      <c r="G28" t="s">
        <v>38</v>
      </c>
      <c r="I28" t="s">
        <v>59</v>
      </c>
      <c r="J28" t="s">
        <v>81</v>
      </c>
    </row>
    <row r="29" spans="2:11" x14ac:dyDescent="0.3">
      <c r="B29">
        <f t="shared" si="0"/>
        <v>7</v>
      </c>
      <c r="C29" t="s">
        <v>95</v>
      </c>
      <c r="D29">
        <v>5</v>
      </c>
      <c r="E29">
        <v>5000</v>
      </c>
      <c r="F29" t="s">
        <v>38</v>
      </c>
      <c r="G29" t="s">
        <v>38</v>
      </c>
      <c r="I29" t="s">
        <v>96</v>
      </c>
      <c r="J29" t="s">
        <v>97</v>
      </c>
    </row>
    <row r="30" spans="2:11" x14ac:dyDescent="0.3">
      <c r="B30">
        <f t="shared" si="0"/>
        <v>8</v>
      </c>
      <c r="C30" t="s">
        <v>87</v>
      </c>
      <c r="D30">
        <v>5</v>
      </c>
      <c r="E30">
        <v>5000</v>
      </c>
      <c r="F30" t="s">
        <v>38</v>
      </c>
      <c r="G30" t="s">
        <v>38</v>
      </c>
      <c r="I30" t="s">
        <v>89</v>
      </c>
      <c r="J30" t="s">
        <v>94</v>
      </c>
    </row>
    <row r="31" spans="2:11" x14ac:dyDescent="0.3">
      <c r="B31">
        <f t="shared" si="0"/>
        <v>9</v>
      </c>
      <c r="C31" t="s">
        <v>62</v>
      </c>
      <c r="D31">
        <v>5</v>
      </c>
      <c r="E31">
        <v>100</v>
      </c>
      <c r="F31" t="s">
        <v>39</v>
      </c>
      <c r="G31" t="s">
        <v>39</v>
      </c>
      <c r="I31" t="s">
        <v>60</v>
      </c>
      <c r="J31" t="s">
        <v>61</v>
      </c>
    </row>
    <row r="32" spans="2:11" x14ac:dyDescent="0.3">
      <c r="B32">
        <f t="shared" si="0"/>
        <v>10</v>
      </c>
      <c r="C32" t="s">
        <v>63</v>
      </c>
      <c r="D32">
        <v>5</v>
      </c>
      <c r="E32">
        <v>100</v>
      </c>
      <c r="F32" t="s">
        <v>39</v>
      </c>
      <c r="G32" t="s">
        <v>39</v>
      </c>
      <c r="I32" t="s">
        <v>60</v>
      </c>
      <c r="J32" t="s">
        <v>61</v>
      </c>
    </row>
    <row r="33" spans="2:10" x14ac:dyDescent="0.3">
      <c r="B33">
        <f t="shared" si="0"/>
        <v>11</v>
      </c>
      <c r="C33" t="s">
        <v>64</v>
      </c>
      <c r="D33">
        <v>5</v>
      </c>
      <c r="E33">
        <v>200</v>
      </c>
      <c r="F33" t="s">
        <v>39</v>
      </c>
      <c r="G33" t="s">
        <v>38</v>
      </c>
      <c r="I33" t="s">
        <v>65</v>
      </c>
    </row>
    <row r="34" spans="2:10" x14ac:dyDescent="0.3">
      <c r="B34">
        <f t="shared" si="0"/>
        <v>12</v>
      </c>
      <c r="C34" t="s">
        <v>78</v>
      </c>
      <c r="D34">
        <v>5</v>
      </c>
      <c r="E34">
        <v>100</v>
      </c>
      <c r="F34" t="s">
        <v>39</v>
      </c>
      <c r="G34" t="s">
        <v>38</v>
      </c>
      <c r="I34" t="s">
        <v>79</v>
      </c>
      <c r="J34" t="s">
        <v>80</v>
      </c>
    </row>
  </sheetData>
  <dataValidations count="1">
    <dataValidation type="list" allowBlank="1" showInputMessage="1" showErrorMessage="1" sqref="F22:G34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DiagStrategy!$C$7:$C$8</xm:f>
          </x14:formula1>
          <xm:sqref>H22:H34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9" sqref="E19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50</v>
      </c>
      <c r="D7" t="s">
        <v>49</v>
      </c>
      <c r="E7" t="s">
        <v>55</v>
      </c>
      <c r="F7" t="s">
        <v>56</v>
      </c>
      <c r="G7" t="s">
        <v>57</v>
      </c>
    </row>
    <row r="18" spans="6:6" x14ac:dyDescent="0.3">
      <c r="F18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Logic!$F$17:$F$17</xm:f>
          </x14:formula1>
          <xm:sqref>E8:G8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I16"/>
  <sheetViews>
    <sheetView zoomScale="75" workbookViewId="0">
      <selection activeCell="F28" sqref="F28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9" x14ac:dyDescent="0.3">
      <c r="C5" t="s">
        <v>51</v>
      </c>
      <c r="D5" t="s">
        <v>11</v>
      </c>
    </row>
    <row r="6" spans="3:9" x14ac:dyDescent="0.3">
      <c r="D6" t="s">
        <v>71</v>
      </c>
    </row>
    <row r="16" spans="3:9" x14ac:dyDescent="0.3">
      <c r="F16" t="s">
        <v>52</v>
      </c>
      <c r="G16" t="s">
        <v>53</v>
      </c>
      <c r="H16" t="s">
        <v>54</v>
      </c>
      <c r="I16" t="s">
        <v>11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Actuators_Drivers!$B$6:$B$6</xm:f>
          </x14:formula1>
          <xm:sqref>G17:H17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General</vt:lpstr>
      <vt:lpstr>Sensors_Drivers</vt:lpstr>
      <vt:lpstr>Actuators_Drivers</vt:lpstr>
      <vt:lpstr>Parameters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2025-08-23T14:15:54Z</dcterms:modified>
</cp:coreProperties>
</file>