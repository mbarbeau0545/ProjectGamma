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9D180D28-6356-45A2-86AD-596E19AB8EA8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<sst xmlns="http://schemas.openxmlformats.org/spreadsheetml/2006/main" count="314" uniqueCount="196">
  <si>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</si>
  <si>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</si>
  <si>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</si>
  <si>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</si>
  <si>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</si>
  <si>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</si>
  <si>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</si>
  <si>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</si>
  <si>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</si>
  <si>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</si>
  <si>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</si>
  <si>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</si>
  <si>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</si>
  <si>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</si>
  <si>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</si>
  <si>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</si>
  <si>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</si>
  <si>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</si>
  <si>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</si>
  <si>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</si>
  <si>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</si>
  <si>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</si>
  <si>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</si>
  <si>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</si>
  <si>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</si>
  <si>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</si>
  <si>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</si>
  <si>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</si>
  <si>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</si>
  <si>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</si>
  <si>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</si>
  <si>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</si>
  <si>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</si>
  <si>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</si>
  <si>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</si>
  <si>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</si>
  <si>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</si>
  <si>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</si>
  <si>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</si>
  <si>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</si>
  <si>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</si>
  <si>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</si>
  <si>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</si>
  <si>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</si>
  <si>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</si>
  <si>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</si>
  <si>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</si>
  <si>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</si>
  <si>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</si>
  <si>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</si>
  <si>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</si>
  <si>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</si>
  <si>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</si>
  <si>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</si>
  <si>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</si>
  <si>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</si>
  <si>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</si>
  <si>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</si>
  <si>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</si>
  <si>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</si>
  <si>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</si>
  <si>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</si>
  <si>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</si>
  <si>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</si>
  <si>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</si>
  <si>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</si>
  <si>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</si>
  <si>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</si>
  <si>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</si>
  <si>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</si>
  <si>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</si>
  <si>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</si>
  <si>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</si>
  <si>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</si>
  <si>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</si>
  <si>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</si>
  <si>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</si>
  <si>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</si>
  <si>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</si>
  <si>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</si>
  <si>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</si>
  <si>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</si>
  <si>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</si>
  <si>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</si>
  <si>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</si>
  <si>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</si>
  <si>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</si>
  <si>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</si>
  <si>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</si>
  <si>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</si>
  <si>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</si>
  <si>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</si>
  <si>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</si>
  <si>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</si>
  <si>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</si>
  <si>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</si>
  <si>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</si>
  <si>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</si>
  <si>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</si>
  <si>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it's multiply by 2 in AppSig</t>
  </si>
  <si>
    <t>LGC_MTR_PULSE_ITER_MAX</t>
  </si>
  <si>
    <t>PRM_LGC_MTR_PULSE_ITER_MAX</t>
  </si>
  <si>
    <t>LGC_MTR_XL_RAMP_CTRL_KFACTOR</t>
  </si>
  <si>
    <t>PRM_LGC_MTR_XL_RAMP_CTRL_KFACTOR</t>
  </si>
  <si>
    <t>LGC_MTR_XL_RAMP_CTRL_SLOP_SPEED</t>
  </si>
  <si>
    <t>PRM_LGC_MTR_XL_RAMP_CTRL_SLOP_SPEED</t>
  </si>
  <si>
    <t>LGC_MTR_XL_RAMP_CTRL_TOTAL_STEP</t>
  </si>
  <si>
    <t>PRM_LGC_MTR_XL_RAMP_CTRL_TOTAL_STEP</t>
  </si>
  <si>
    <t>LGC_MTR_XL_SPEED_MAX</t>
  </si>
  <si>
    <t>PRM_LGC_MTR_XL_SPEED_MAX</t>
  </si>
  <si>
    <t>LGC_MTR_XL_SPEED_MIN</t>
  </si>
  <si>
    <t>PRM_LGC_MTR_XL_SPEED_MIN</t>
  </si>
  <si>
    <t>LGC_MTR_XR_RAMP_CTRL_KFACTOR</t>
  </si>
  <si>
    <t>PRM_LGC_MTR_XR_RAMP_CTRL_KFACTOR</t>
  </si>
  <si>
    <t>LGC_MTR_XR_RAMP_CTRL_SLOP_SPEED</t>
  </si>
  <si>
    <t>PRM_LGC_MTR_XR_RAMP_CTRL_SLOP_SPEED</t>
  </si>
  <si>
    <t>LGC_MTR_XR_RAMP_CTRL_TOTAL_STEP</t>
  </si>
  <si>
    <t>PRM_LGC_MTR_XR_RAMP_CTRL_TOTAL_STEP</t>
  </si>
  <si>
    <t>LGC_MTR_XR_SPEED_MAX</t>
  </si>
  <si>
    <t>PRM_LGC_MTR_XR_SPEED_MAX</t>
  </si>
  <si>
    <t>LGC_MTR_XR_SPEED_MIN</t>
  </si>
  <si>
    <t>PRM_LGC_MTR_XR_SPEED_MIN</t>
  </si>
  <si>
    <t>LGC_MTR_Y_RAMP_CTRL_KFACTOR</t>
  </si>
  <si>
    <t>PRM_LGC_MTR_Y_RAMP_CTRL_KFACTOR</t>
  </si>
  <si>
    <t>LGC_MTR_Y_RAMP_CTRL_SLOP_SPEED</t>
  </si>
  <si>
    <t>PRM_LGC_MTR_Y_RAMP_CTRL_SLOP_SPEED</t>
  </si>
  <si>
    <t>LGC_MTR_Y_RAMP_CTRL_TOTAL_STEP</t>
  </si>
  <si>
    <t>PRM_LGC_MTR_Y_RAMP_CTRL_TOTAL_STEP</t>
  </si>
  <si>
    <t>LGC_MTR_Y_SPEED_MAX</t>
  </si>
  <si>
    <t>PRM_LGC_MTR_Y_SPEED_MAX</t>
  </si>
  <si>
    <t>LGC_MTR_Y_SPEED_MIN</t>
  </si>
  <si>
    <t>PRM_LGC_MTR_Y_SPEED_MIN</t>
  </si>
  <si>
    <t>LGC_MTR_Z_RAMP_CTRL_KFACTOR</t>
  </si>
  <si>
    <t>PRM_LGC_MTR_Z_RAMP_CTRL_KFACTOR</t>
  </si>
  <si>
    <t>LGC_MTR_Z_RAMP_CTRL_SLOP_SPEED</t>
  </si>
  <si>
    <t>PRM_LGC_MTR_Z_RAMP_CTRL_SLOP_SPEED</t>
  </si>
  <si>
    <t>LGC_MTR_Z_RAMP_CTRL_TOTAL_STEP</t>
  </si>
  <si>
    <t>PRM_LGC_MTR_Z_RAMP_CTRL_TOTAL_STEP</t>
  </si>
  <si>
    <t>LGC_MTR_Z_SPEED_MAX</t>
  </si>
  <si>
    <t>PRM_LGC_MTR_Z_SPEED_MAX</t>
  </si>
  <si>
    <t>LGC_MTR_Z_SPEED_MIN</t>
  </si>
  <si>
    <t>PRM_LGC_MTR_Z_SPEED_MIN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</si>
  <si>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</si>
  <si>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</si>
  <si>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</si>
  <si>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</si>
  <si>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</si>
  <si>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</si>
  <si>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</si>
  <si>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</si>
  <si>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</si>
  <si>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</si>
  <si>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</si>
  <si>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</si>
  <si>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</si>
  <si>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</si>
  <si>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</si>
  <si>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</si>
  <si>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</si>
  <si>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</si>
  <si>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</si>
  <si>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</si>
  <si>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</si>
  <si>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</si>
  <si>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</si>
  <si>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</si>
  <si>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</si>
  <si>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</si>
  <si>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</si>
  <si>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</si>
  <si>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</si>
  <si>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</si>
  <si>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</si>
  <si>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</si>
  <si>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</si>
  <si>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</si>
  <si>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</si>
  <si>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</si>
  <si>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</si>
  <si>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X Left Pulses</t>
  </si>
  <si>
    <t>Moteur X Left Speed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</si>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</sst>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5" totalsRowShown="0">
  <autoFilter ref="B43:F45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1" totalsRowShown="0">
  <autoFilter ref="B5:D11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J35" totalsRowShown="0">
  <autoFilter ref="C5:J35" xr:uid="{A6FB401A-9B85-4726-A494-B67658AD2F23}"/>
  <sortState xmlns:xlrd2="http://schemas.microsoft.com/office/spreadsheetml/2017/richdata2" ref="C6:J26">
    <sortCondition ref="D5:D26"/>
  </sortState>
  <tableColumns count="8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4" totalsRowShown="0">
  <autoFilter ref="B21:K34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topLeftCell="A15"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60</v>
      </c>
      <c r="D5" t="s">
        <v>61</v>
      </c>
      <c r="E5" t="s">
        <v>63</v>
      </c>
    </row>
    <row r="6" spans="3:11" x14ac:dyDescent="0.3">
      <c r="C6" s="1" t="s">
        <v>62</v>
      </c>
      <c r="D6" s="1" t="s">
        <v>62</v>
      </c>
      <c r="E6" s="1" t="s">
        <v>64</v>
      </c>
    </row>
    <row r="16" spans="3:11" x14ac:dyDescent="0.3">
      <c r="C16" t="s">
        <v>165</v>
      </c>
      <c r="D16" t="s">
        <v>161</v>
      </c>
      <c r="E16" t="s">
        <v>162</v>
      </c>
      <c r="F16" t="s">
        <v>163</v>
      </c>
      <c r="G16" t="s">
        <v>164</v>
      </c>
      <c r="H16" t="s">
        <v>187</v>
      </c>
      <c r="I16" t="s">
        <v>188</v>
      </c>
      <c r="J16" t="s">
        <v>189</v>
      </c>
      <c r="K16" t="s">
        <v>190</v>
      </c>
    </row>
    <row r="17" spans="3:11" x14ac:dyDescent="0.3">
      <c r="C17" t="s">
        <v>166</v>
      </c>
      <c r="D17" t="s">
        <v>160</v>
      </c>
      <c r="E17" t="s">
        <v>160</v>
      </c>
      <c r="F17" t="s">
        <v>160</v>
      </c>
      <c r="G17" t="s">
        <v>160</v>
      </c>
      <c r="H17" t="s">
        <v>148</v>
      </c>
      <c r="I17" t="s">
        <v>148</v>
      </c>
      <c r="J17" t="s">
        <v>148</v>
      </c>
      <c r="K17" t="s">
        <v>148</v>
      </c>
    </row>
    <row r="18" spans="3:11" x14ac:dyDescent="0.3">
      <c r="C18" t="s">
        <v>167</v>
      </c>
      <c r="D18" t="s">
        <v>168</v>
      </c>
      <c r="E18" t="s">
        <v>168</v>
      </c>
      <c r="F18" t="s">
        <v>168</v>
      </c>
      <c r="G18" t="s">
        <v>168</v>
      </c>
      <c r="H18" t="s">
        <v>148</v>
      </c>
      <c r="I18" t="s">
        <v>148</v>
      </c>
      <c r="J18" t="s">
        <v>148</v>
      </c>
      <c r="K18" t="s">
        <v>148</v>
      </c>
    </row>
    <row r="28" spans="3:11" x14ac:dyDescent="0.3">
      <c r="C28" t="s">
        <v>152</v>
      </c>
      <c r="D28" t="s">
        <v>153</v>
      </c>
      <c r="E28" t="s">
        <v>154</v>
      </c>
    </row>
    <row r="29" spans="3:11" x14ac:dyDescent="0.3">
      <c r="C29" t="s">
        <v>161</v>
      </c>
      <c r="D29" t="s">
        <v>160</v>
      </c>
      <c r="E29" t="s">
        <v>149</v>
      </c>
    </row>
    <row r="30" spans="3:11" x14ac:dyDescent="0.3">
      <c r="C30" t="s">
        <v>162</v>
      </c>
      <c r="D30" t="s">
        <v>160</v>
      </c>
      <c r="E30" t="s">
        <v>149</v>
      </c>
    </row>
    <row r="31" spans="3:11" x14ac:dyDescent="0.3">
      <c r="C31" t="s">
        <v>163</v>
      </c>
      <c r="D31" t="s">
        <v>160</v>
      </c>
      <c r="E31" t="s">
        <v>149</v>
      </c>
    </row>
    <row r="32" spans="3:11" x14ac:dyDescent="0.3">
      <c r="C32" t="s">
        <v>164</v>
      </c>
      <c r="D32" t="s">
        <v>160</v>
      </c>
      <c r="E32" t="s">
        <v>149</v>
      </c>
    </row>
    <row r="33" spans="3:4" x14ac:dyDescent="0.3">
      <c r="C33" t="s">
        <v>187</v>
      </c>
      <c r="D33" t="s">
        <v>148</v>
      </c>
    </row>
    <row r="34" spans="3:4" x14ac:dyDescent="0.3">
      <c r="C34" t="s">
        <v>188</v>
      </c>
      <c r="D34" t="s">
        <v>148</v>
      </c>
    </row>
    <row r="35" spans="3:4" x14ac:dyDescent="0.3">
      <c r="C35" t="s">
        <v>189</v>
      </c>
      <c r="D35" t="s">
        <v>148</v>
      </c>
    </row>
    <row r="36" spans="3:4" x14ac:dyDescent="0.3">
      <c r="C36" t="s">
        <v>190</v>
      </c>
      <c r="D36" t="s">
        <v>148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22" zoomScale="92" zoomScaleNormal="46" workbookViewId="0">
      <selection activeCell="E44" sqref="E4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147</v>
      </c>
    </row>
    <row r="14" spans="2:5" x14ac:dyDescent="0.3">
      <c r="B14" t="s">
        <v>169</v>
      </c>
      <c r="C14" t="s">
        <v>145</v>
      </c>
      <c r="D14" t="s">
        <v>2</v>
      </c>
      <c r="E14" t="s">
        <v>0</v>
      </c>
    </row>
    <row r="15" spans="2:5" x14ac:dyDescent="0.3">
      <c r="B15" t="s">
        <v>156</v>
      </c>
      <c r="C15" t="s">
        <v>144</v>
      </c>
      <c r="D15" t="s">
        <v>28</v>
      </c>
      <c r="E15" t="s">
        <v>146</v>
      </c>
    </row>
    <row r="16" spans="2:5" x14ac:dyDescent="0.3">
      <c r="B16" t="s">
        <v>156</v>
      </c>
      <c r="C16" t="s">
        <v>26</v>
      </c>
      <c r="D16" t="s">
        <v>31</v>
      </c>
      <c r="E16" t="s">
        <v>146</v>
      </c>
    </row>
    <row r="17" spans="2:13" x14ac:dyDescent="0.3">
      <c r="B17" t="s">
        <v>157</v>
      </c>
      <c r="C17" t="s">
        <v>144</v>
      </c>
      <c r="D17" t="s">
        <v>28</v>
      </c>
      <c r="E17" t="s">
        <v>142</v>
      </c>
    </row>
    <row r="18" spans="2:13" x14ac:dyDescent="0.3">
      <c r="B18" t="s">
        <v>157</v>
      </c>
      <c r="C18" t="s">
        <v>26</v>
      </c>
      <c r="D18" t="s">
        <v>31</v>
      </c>
      <c r="E18" t="s">
        <v>146</v>
      </c>
    </row>
    <row r="19" spans="2:13" x14ac:dyDescent="0.3">
      <c r="B19" t="s">
        <v>158</v>
      </c>
      <c r="C19" t="s">
        <v>144</v>
      </c>
      <c r="D19" t="s">
        <v>28</v>
      </c>
      <c r="E19" t="s">
        <v>142</v>
      </c>
    </row>
    <row r="20" spans="2:13" x14ac:dyDescent="0.3">
      <c r="B20" t="s">
        <v>158</v>
      </c>
      <c r="C20" t="s">
        <v>26</v>
      </c>
      <c r="D20" t="s">
        <v>31</v>
      </c>
      <c r="E20" t="s">
        <v>146</v>
      </c>
    </row>
    <row r="21" spans="2:13" x14ac:dyDescent="0.3">
      <c r="B21" t="s">
        <v>159</v>
      </c>
      <c r="C21" t="s">
        <v>144</v>
      </c>
      <c r="D21" t="s">
        <v>28</v>
      </c>
      <c r="E21" t="s">
        <v>142</v>
      </c>
    </row>
    <row r="22" spans="2:13" x14ac:dyDescent="0.3">
      <c r="B22" t="s">
        <v>159</v>
      </c>
      <c r="C22" t="s">
        <v>26</v>
      </c>
      <c r="D22" t="s">
        <v>31</v>
      </c>
      <c r="E22" t="s">
        <v>146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170</v>
      </c>
      <c r="C43" t="s">
        <v>3</v>
      </c>
      <c r="D43" t="s">
        <v>4</v>
      </c>
      <c r="E43" t="s">
        <v>191</v>
      </c>
      <c r="F43" t="s">
        <v>6</v>
      </c>
    </row>
  </sheetData>
  <phoneticPr fontId="1" type="noConversion"/>
  <dataValidations count="2">
    <dataValidation type="list" allowBlank="1" showInputMessage="1" showErrorMessage="1" sqref="C44:E45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92" workbookViewId="0">
      <selection activeCell="B17" sqref="B1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176</v>
      </c>
      <c r="C5" t="s">
        <v>177</v>
      </c>
      <c r="D5" t="s">
        <v>1</v>
      </c>
      <c r="G5" t="s">
        <v>19</v>
      </c>
      <c r="H5" t="s">
        <v>20</v>
      </c>
    </row>
    <row r="6" spans="2:10" x14ac:dyDescent="0.3">
      <c r="B6" t="s">
        <v>143</v>
      </c>
      <c r="C6" t="s">
        <v>178</v>
      </c>
      <c r="D6" t="s">
        <v>179</v>
      </c>
    </row>
    <row r="7" spans="2:10" x14ac:dyDescent="0.3">
      <c r="B7" t="s">
        <v>143</v>
      </c>
      <c r="C7" t="s">
        <v>26</v>
      </c>
      <c r="D7" t="s">
        <v>180</v>
      </c>
      <c r="G7" t="s">
        <v>23</v>
      </c>
      <c r="H7" t="s">
        <v>9</v>
      </c>
    </row>
    <row r="8" spans="2:10" x14ac:dyDescent="0.3">
      <c r="B8" t="s">
        <v>150</v>
      </c>
      <c r="C8" t="s">
        <v>178</v>
      </c>
      <c r="D8" t="s">
        <v>181</v>
      </c>
    </row>
    <row r="9" spans="2:10" x14ac:dyDescent="0.3">
      <c r="B9" t="s">
        <v>150</v>
      </c>
      <c r="C9" t="s">
        <v>26</v>
      </c>
      <c r="D9" t="s">
        <v>182</v>
      </c>
    </row>
    <row r="10" spans="2:10" x14ac:dyDescent="0.3">
      <c r="B10" t="s">
        <v>151</v>
      </c>
      <c r="C10" t="s">
        <v>178</v>
      </c>
      <c r="D10" t="s">
        <v>183</v>
      </c>
    </row>
    <row r="11" spans="2:10" x14ac:dyDescent="0.3">
      <c r="B11" t="s">
        <v>151</v>
      </c>
      <c r="C11" t="s">
        <v>26</v>
      </c>
      <c r="D11" t="s">
        <v>184</v>
      </c>
    </row>
    <row r="13" spans="2:10" x14ac:dyDescent="0.3">
      <c r="F13" t="s">
        <v>21</v>
      </c>
      <c r="G13" t="s">
        <v>3</v>
      </c>
      <c r="H13" t="s">
        <v>4</v>
      </c>
      <c r="I13" t="s">
        <v>186</v>
      </c>
      <c r="J13" t="s">
        <v>22</v>
      </c>
    </row>
    <row r="14" spans="2:10" x14ac:dyDescent="0.3">
      <c r="F14" t="s">
        <v>148</v>
      </c>
      <c r="G14" t="s">
        <v>23</v>
      </c>
      <c r="H14" t="s">
        <v>23</v>
      </c>
      <c r="I14" t="s">
        <v>23</v>
      </c>
      <c r="J14" t="s">
        <v>185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J35"/>
  <sheetViews>
    <sheetView tabSelected="1" topLeftCell="A16" workbookViewId="0">
      <selection activeCell="D36" sqref="D36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  <col min="9" max="9" width="44.77734375" customWidth="1"/>
    <col min="10" max="10" width="47.109375" customWidth="1"/>
    <col min="13" max="13" width="20.5546875" customWidth="1"/>
    <col min="14" max="14" width="17.5546875" customWidth="1"/>
  </cols>
  <sheetData>
    <row r="1" spans="3:10" x14ac:dyDescent="0.3">
      <c r="I1" t="s">
        <v>34</v>
      </c>
    </row>
    <row r="5" spans="3:10" x14ac:dyDescent="0.3">
      <c r="C5" t="s">
        <v>66</v>
      </c>
      <c r="D5" t="s">
        <v>67</v>
      </c>
      <c r="E5" t="s">
        <v>71</v>
      </c>
      <c r="F5" t="s">
        <v>68</v>
      </c>
      <c r="G5" t="s">
        <v>69</v>
      </c>
      <c r="H5" t="s">
        <v>70</v>
      </c>
      <c r="I5" t="s">
        <v>98</v>
      </c>
      <c r="J5" t="s">
        <v>6</v>
      </c>
    </row>
    <row r="6" spans="3:10" x14ac:dyDescent="0.3">
      <c r="D6" t="s">
        <v>100</v>
      </c>
      <c r="E6" s="2">
        <v>1</v>
      </c>
      <c r="F6">
        <v>1</v>
      </c>
      <c r="G6">
        <v>65535</v>
      </c>
      <c r="H6">
        <v>4000</v>
      </c>
      <c r="I6" t="s">
        <v>101</v>
      </c>
    </row>
    <row r="7" spans="3:10" x14ac:dyDescent="0.3">
      <c r="D7" t="s">
        <v>102</v>
      </c>
      <c r="E7" s="2">
        <v>1</v>
      </c>
      <c r="F7">
        <v>0</v>
      </c>
      <c r="G7">
        <v>65535</v>
      </c>
      <c r="H7">
        <v>2</v>
      </c>
      <c r="I7" t="s">
        <v>103</v>
      </c>
    </row>
    <row r="8" spans="3:10" x14ac:dyDescent="0.3">
      <c r="D8" t="s">
        <v>104</v>
      </c>
      <c r="E8" s="2">
        <v>1</v>
      </c>
      <c r="F8">
        <v>0</v>
      </c>
      <c r="G8">
        <v>65535</v>
      </c>
      <c r="H8">
        <v>65300</v>
      </c>
      <c r="I8" t="s">
        <v>105</v>
      </c>
      <c r="J8" t="s">
        <v>99</v>
      </c>
    </row>
    <row r="9" spans="3:10" x14ac:dyDescent="0.3">
      <c r="D9" t="s">
        <v>106</v>
      </c>
      <c r="E9" s="2">
        <v>1</v>
      </c>
      <c r="F9">
        <v>0</v>
      </c>
      <c r="G9">
        <v>65535</v>
      </c>
      <c r="H9">
        <v>50</v>
      </c>
      <c r="I9" t="s">
        <v>107</v>
      </c>
    </row>
    <row r="10" spans="3:10" x14ac:dyDescent="0.3">
      <c r="D10" t="s">
        <v>108</v>
      </c>
      <c r="E10" s="2">
        <v>1</v>
      </c>
      <c r="F10">
        <v>1</v>
      </c>
      <c r="G10">
        <v>65535</v>
      </c>
      <c r="H10">
        <v>26000</v>
      </c>
      <c r="I10" t="s">
        <v>109</v>
      </c>
    </row>
    <row r="11" spans="3:10" x14ac:dyDescent="0.3">
      <c r="D11" t="s">
        <v>110</v>
      </c>
      <c r="E11" s="2">
        <v>1</v>
      </c>
      <c r="F11">
        <v>1</v>
      </c>
      <c r="G11">
        <v>65535</v>
      </c>
      <c r="H11">
        <v>600</v>
      </c>
      <c r="I11" t="s">
        <v>111</v>
      </c>
    </row>
    <row r="12" spans="3:10" x14ac:dyDescent="0.3">
      <c r="D12" t="s">
        <v>112</v>
      </c>
      <c r="E12" s="2">
        <v>1</v>
      </c>
      <c r="F12">
        <v>0</v>
      </c>
      <c r="G12">
        <v>65535</v>
      </c>
      <c r="H12">
        <v>2</v>
      </c>
      <c r="I12" t="s">
        <v>113</v>
      </c>
    </row>
    <row r="13" spans="3:10" x14ac:dyDescent="0.3">
      <c r="D13" t="s">
        <v>114</v>
      </c>
      <c r="E13" s="2">
        <v>1</v>
      </c>
      <c r="F13">
        <v>0</v>
      </c>
      <c r="G13">
        <v>65535</v>
      </c>
      <c r="H13">
        <v>65300</v>
      </c>
      <c r="I13" t="s">
        <v>115</v>
      </c>
      <c r="J13" t="s">
        <v>99</v>
      </c>
    </row>
    <row r="14" spans="3:10" x14ac:dyDescent="0.3">
      <c r="D14" t="s">
        <v>116</v>
      </c>
      <c r="E14" s="2">
        <v>1</v>
      </c>
      <c r="F14">
        <v>0</v>
      </c>
      <c r="G14">
        <v>65535</v>
      </c>
      <c r="H14">
        <v>50</v>
      </c>
      <c r="I14" t="s">
        <v>117</v>
      </c>
    </row>
    <row r="15" spans="3:10" x14ac:dyDescent="0.3">
      <c r="D15" t="s">
        <v>118</v>
      </c>
      <c r="E15" s="2">
        <v>1</v>
      </c>
      <c r="F15">
        <v>1</v>
      </c>
      <c r="G15">
        <v>65535</v>
      </c>
      <c r="H15">
        <v>26000</v>
      </c>
      <c r="I15" t="s">
        <v>119</v>
      </c>
    </row>
    <row r="16" spans="3:10" x14ac:dyDescent="0.3">
      <c r="D16" t="s">
        <v>120</v>
      </c>
      <c r="E16" s="2">
        <v>1</v>
      </c>
      <c r="F16">
        <v>1</v>
      </c>
      <c r="G16">
        <v>65535</v>
      </c>
      <c r="H16">
        <v>600</v>
      </c>
      <c r="I16" t="s">
        <v>121</v>
      </c>
    </row>
    <row r="17" spans="4:10" x14ac:dyDescent="0.3">
      <c r="D17" t="s">
        <v>122</v>
      </c>
      <c r="E17" s="2">
        <v>1</v>
      </c>
      <c r="F17">
        <v>0</v>
      </c>
      <c r="G17">
        <v>65535</v>
      </c>
      <c r="H17">
        <v>2</v>
      </c>
      <c r="I17" t="s">
        <v>123</v>
      </c>
    </row>
    <row r="18" spans="4:10" x14ac:dyDescent="0.3">
      <c r="D18" t="s">
        <v>124</v>
      </c>
      <c r="E18" s="2">
        <v>1</v>
      </c>
      <c r="F18">
        <v>0</v>
      </c>
      <c r="G18">
        <v>65535</v>
      </c>
      <c r="H18">
        <v>65300</v>
      </c>
      <c r="I18" t="s">
        <v>125</v>
      </c>
      <c r="J18" t="s">
        <v>99</v>
      </c>
    </row>
    <row r="19" spans="4:10" x14ac:dyDescent="0.3">
      <c r="D19" t="s">
        <v>126</v>
      </c>
      <c r="E19" s="2">
        <v>1</v>
      </c>
      <c r="F19">
        <v>0</v>
      </c>
      <c r="G19">
        <v>65535</v>
      </c>
      <c r="H19">
        <v>50</v>
      </c>
      <c r="I19" t="s">
        <v>127</v>
      </c>
    </row>
    <row r="20" spans="4:10" x14ac:dyDescent="0.3">
      <c r="D20" t="s">
        <v>128</v>
      </c>
      <c r="E20" s="2">
        <v>1</v>
      </c>
      <c r="F20">
        <v>1</v>
      </c>
      <c r="G20">
        <v>65535</v>
      </c>
      <c r="H20">
        <v>26000</v>
      </c>
      <c r="I20" t="s">
        <v>129</v>
      </c>
    </row>
    <row r="21" spans="4:10" x14ac:dyDescent="0.3">
      <c r="D21" t="s">
        <v>130</v>
      </c>
      <c r="E21" s="2">
        <v>1</v>
      </c>
      <c r="F21">
        <v>1</v>
      </c>
      <c r="G21">
        <v>65535</v>
      </c>
      <c r="H21">
        <v>600</v>
      </c>
      <c r="I21" t="s">
        <v>131</v>
      </c>
    </row>
    <row r="22" spans="4:10" x14ac:dyDescent="0.3">
      <c r="D22" t="s">
        <v>132</v>
      </c>
      <c r="E22" s="2">
        <v>1</v>
      </c>
      <c r="F22">
        <v>0</v>
      </c>
      <c r="G22">
        <v>65535</v>
      </c>
      <c r="H22">
        <v>2</v>
      </c>
      <c r="I22" t="s">
        <v>133</v>
      </c>
    </row>
    <row r="23" spans="4:10" x14ac:dyDescent="0.3">
      <c r="D23" t="s">
        <v>134</v>
      </c>
      <c r="E23" s="2">
        <v>1</v>
      </c>
      <c r="F23">
        <v>0</v>
      </c>
      <c r="G23">
        <v>65535</v>
      </c>
      <c r="H23">
        <v>65300</v>
      </c>
      <c r="I23" t="s">
        <v>135</v>
      </c>
      <c r="J23" t="s">
        <v>99</v>
      </c>
    </row>
    <row r="24" spans="4:10" x14ac:dyDescent="0.3">
      <c r="D24" t="s">
        <v>136</v>
      </c>
      <c r="E24" s="2">
        <v>1</v>
      </c>
      <c r="F24">
        <v>0</v>
      </c>
      <c r="G24">
        <v>65535</v>
      </c>
      <c r="H24">
        <v>50</v>
      </c>
      <c r="I24" t="s">
        <v>137</v>
      </c>
    </row>
    <row r="25" spans="4:10" x14ac:dyDescent="0.3">
      <c r="D25" t="s">
        <v>138</v>
      </c>
      <c r="E25" s="2">
        <v>1</v>
      </c>
      <c r="F25">
        <v>1</v>
      </c>
      <c r="G25">
        <v>65535</v>
      </c>
      <c r="H25">
        <v>26000</v>
      </c>
      <c r="I25" t="s">
        <v>139</v>
      </c>
    </row>
    <row r="26" spans="4:10" x14ac:dyDescent="0.3">
      <c r="D26" t="s">
        <v>140</v>
      </c>
      <c r="E26" s="2">
        <v>1</v>
      </c>
      <c r="F26">
        <v>1</v>
      </c>
      <c r="G26">
        <v>65535</v>
      </c>
      <c r="H26">
        <v>600</v>
      </c>
      <c r="I26" t="s">
        <v>141</v>
      </c>
    </row>
    <row r="27" spans="4:10" x14ac:dyDescent="0.3">
      <c r="D27" t="s">
        <v>172</v>
      </c>
      <c r="E27" s="2">
        <v>1</v>
      </c>
      <c r="F27">
        <v>0</v>
      </c>
      <c r="G27">
        <v>65535</v>
      </c>
      <c r="H27">
        <v>0</v>
      </c>
      <c r="J27" t="s">
        <v>155</v>
      </c>
    </row>
    <row r="28" spans="4:10" x14ac:dyDescent="0.3">
      <c r="D28" t="s">
        <v>173</v>
      </c>
      <c r="E28" s="2">
        <v>1</v>
      </c>
      <c r="F28">
        <v>0</v>
      </c>
      <c r="G28">
        <v>65535</v>
      </c>
      <c r="H28">
        <v>0</v>
      </c>
      <c r="J28" t="s">
        <v>155</v>
      </c>
    </row>
    <row r="29" spans="4:10" x14ac:dyDescent="0.3">
      <c r="D29" t="s">
        <v>174</v>
      </c>
      <c r="E29" s="2">
        <v>1</v>
      </c>
      <c r="F29">
        <v>0</v>
      </c>
      <c r="G29">
        <v>65535</v>
      </c>
      <c r="H29">
        <v>0</v>
      </c>
      <c r="J29" t="s">
        <v>155</v>
      </c>
    </row>
    <row r="30" spans="4:10" x14ac:dyDescent="0.3">
      <c r="D30" t="s">
        <v>175</v>
      </c>
      <c r="E30" s="2">
        <v>1</v>
      </c>
      <c r="F30">
        <v>0</v>
      </c>
      <c r="G30">
        <v>65535</v>
      </c>
      <c r="H30">
        <v>0</v>
      </c>
      <c r="J30" t="s">
        <v>155</v>
      </c>
    </row>
    <row r="31" spans="4:10" x14ac:dyDescent="0.3">
      <c r="D31" t="s">
        <v>171</v>
      </c>
      <c r="E31" s="2">
        <v>1</v>
      </c>
      <c r="F31">
        <v>0</v>
      </c>
      <c r="G31">
        <v>65535</v>
      </c>
      <c r="H31">
        <v>0</v>
      </c>
    </row>
    <row r="32" spans="4:10" x14ac:dyDescent="0.3">
      <c r="D32" t="s">
        <v>192</v>
      </c>
      <c r="E32" s="2">
        <v>1</v>
      </c>
      <c r="F32">
        <v>0</v>
      </c>
      <c r="G32">
        <v>65535</v>
      </c>
      <c r="H32">
        <v>0</v>
      </c>
      <c r="J32" t="s">
        <v>155</v>
      </c>
    </row>
    <row r="33" spans="4:10" x14ac:dyDescent="0.3">
      <c r="D33" t="s">
        <v>193</v>
      </c>
      <c r="E33" s="2">
        <v>1</v>
      </c>
      <c r="F33">
        <v>0</v>
      </c>
      <c r="G33">
        <v>65535</v>
      </c>
      <c r="H33">
        <v>0</v>
      </c>
      <c r="J33" t="s">
        <v>155</v>
      </c>
    </row>
    <row r="34" spans="4:10" x14ac:dyDescent="0.3">
      <c r="D34" t="s">
        <v>194</v>
      </c>
      <c r="E34" s="2">
        <v>1</v>
      </c>
      <c r="F34">
        <v>0</v>
      </c>
      <c r="G34">
        <v>65535</v>
      </c>
      <c r="H34">
        <v>0</v>
      </c>
      <c r="J34" t="s">
        <v>155</v>
      </c>
    </row>
    <row r="35" spans="4:10" x14ac:dyDescent="0.3">
      <c r="D35" t="s">
        <v>195</v>
      </c>
      <c r="E35" s="2">
        <v>1</v>
      </c>
      <c r="F35">
        <v>0</v>
      </c>
      <c r="G35">
        <v>65535</v>
      </c>
      <c r="H35">
        <v>0</v>
      </c>
      <c r="J35" t="s">
        <v>155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4"/>
  <sheetViews>
    <sheetView topLeftCell="A15" zoomScale="117" workbookViewId="0">
      <pane xSplit="3" ySplit="7" topLeftCell="I22" activePane="bottomRight" state="frozen"/>
      <selection activeCell="A15" sqref="A15"/>
      <selection pane="topRight" activeCell="D15" sqref="D15"/>
      <selection pane="bottomLeft" activeCell="A22" sqref="A22"/>
      <selection pane="bottomRight" activeCell="I25" sqref="I25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7" max="7" width="9.3320312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92</v>
      </c>
      <c r="E21" t="s">
        <v>93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52</v>
      </c>
      <c r="D22">
        <v>0</v>
      </c>
      <c r="F22" t="s">
        <v>32</v>
      </c>
      <c r="G22" t="s">
        <v>32</v>
      </c>
      <c r="I22" t="s">
        <v>53</v>
      </c>
      <c r="J22" t="s">
        <v>76</v>
      </c>
    </row>
    <row r="23" spans="2:11" x14ac:dyDescent="0.3">
      <c r="B23">
        <f>1+B22</f>
        <v>1</v>
      </c>
      <c r="C23" t="s">
        <v>94</v>
      </c>
      <c r="D23">
        <v>20</v>
      </c>
      <c r="E23">
        <v>3000</v>
      </c>
      <c r="F23" t="s">
        <v>32</v>
      </c>
      <c r="G23" t="s">
        <v>32</v>
      </c>
      <c r="I23" t="s">
        <v>95</v>
      </c>
    </row>
    <row r="24" spans="2:11" x14ac:dyDescent="0.3">
      <c r="B24">
        <f t="shared" ref="B24:B34" si="0">1+B23</f>
        <v>2</v>
      </c>
      <c r="C24" t="s">
        <v>96</v>
      </c>
      <c r="D24">
        <v>20</v>
      </c>
      <c r="E24">
        <v>3000</v>
      </c>
      <c r="F24" t="s">
        <v>32</v>
      </c>
      <c r="G24" t="s">
        <v>32</v>
      </c>
      <c r="I24" t="s">
        <v>97</v>
      </c>
    </row>
    <row r="25" spans="2:11" x14ac:dyDescent="0.3">
      <c r="B25">
        <f t="shared" si="0"/>
        <v>3</v>
      </c>
      <c r="C25" t="s">
        <v>77</v>
      </c>
      <c r="D25">
        <v>5</v>
      </c>
      <c r="E25">
        <v>5000</v>
      </c>
      <c r="F25" t="s">
        <v>32</v>
      </c>
      <c r="G25" t="s">
        <v>32</v>
      </c>
      <c r="I25" t="s">
        <v>82</v>
      </c>
      <c r="J25" t="s">
        <v>87</v>
      </c>
    </row>
    <row r="26" spans="2:11" x14ac:dyDescent="0.3">
      <c r="B26">
        <f t="shared" si="0"/>
        <v>4</v>
      </c>
      <c r="C26" t="s">
        <v>78</v>
      </c>
      <c r="D26">
        <v>5</v>
      </c>
      <c r="E26">
        <v>5000</v>
      </c>
      <c r="F26" t="s">
        <v>32</v>
      </c>
      <c r="G26" t="s">
        <v>32</v>
      </c>
      <c r="I26" t="s">
        <v>53</v>
      </c>
      <c r="J26" t="s">
        <v>86</v>
      </c>
    </row>
    <row r="27" spans="2:11" x14ac:dyDescent="0.3">
      <c r="B27">
        <f t="shared" si="0"/>
        <v>5</v>
      </c>
      <c r="C27" t="s">
        <v>79</v>
      </c>
      <c r="D27">
        <v>5</v>
      </c>
      <c r="E27">
        <v>5000</v>
      </c>
      <c r="F27" t="s">
        <v>32</v>
      </c>
      <c r="G27" t="s">
        <v>32</v>
      </c>
      <c r="I27" t="s">
        <v>84</v>
      </c>
      <c r="J27" t="s">
        <v>85</v>
      </c>
    </row>
    <row r="28" spans="2:11" x14ac:dyDescent="0.3">
      <c r="B28">
        <f t="shared" si="0"/>
        <v>6</v>
      </c>
      <c r="C28" t="s">
        <v>80</v>
      </c>
      <c r="D28">
        <v>5</v>
      </c>
      <c r="E28">
        <v>5000</v>
      </c>
      <c r="F28" t="s">
        <v>32</v>
      </c>
      <c r="G28" t="s">
        <v>32</v>
      </c>
      <c r="I28" t="s">
        <v>53</v>
      </c>
      <c r="J28" t="s">
        <v>75</v>
      </c>
    </row>
    <row r="29" spans="2:11" x14ac:dyDescent="0.3">
      <c r="B29">
        <f t="shared" si="0"/>
        <v>7</v>
      </c>
      <c r="C29" t="s">
        <v>89</v>
      </c>
      <c r="D29">
        <v>5</v>
      </c>
      <c r="E29">
        <v>5000</v>
      </c>
      <c r="F29" t="s">
        <v>32</v>
      </c>
      <c r="G29" t="s">
        <v>32</v>
      </c>
      <c r="I29" t="s">
        <v>90</v>
      </c>
      <c r="J29" t="s">
        <v>91</v>
      </c>
    </row>
    <row r="30" spans="2:11" x14ac:dyDescent="0.3">
      <c r="B30">
        <f t="shared" si="0"/>
        <v>8</v>
      </c>
      <c r="C30" t="s">
        <v>81</v>
      </c>
      <c r="D30">
        <v>5</v>
      </c>
      <c r="E30">
        <v>5000</v>
      </c>
      <c r="F30" t="s">
        <v>32</v>
      </c>
      <c r="G30" t="s">
        <v>32</v>
      </c>
      <c r="I30" t="s">
        <v>83</v>
      </c>
      <c r="J30" t="s">
        <v>88</v>
      </c>
    </row>
    <row r="31" spans="2:11" x14ac:dyDescent="0.3">
      <c r="B31">
        <f t="shared" si="0"/>
        <v>9</v>
      </c>
      <c r="C31" t="s">
        <v>56</v>
      </c>
      <c r="D31">
        <v>5</v>
      </c>
      <c r="E31">
        <v>100</v>
      </c>
      <c r="F31" t="s">
        <v>33</v>
      </c>
      <c r="G31" t="s">
        <v>33</v>
      </c>
      <c r="I31" t="s">
        <v>54</v>
      </c>
      <c r="J31" t="s">
        <v>55</v>
      </c>
    </row>
    <row r="32" spans="2:11" x14ac:dyDescent="0.3">
      <c r="B32">
        <f t="shared" si="0"/>
        <v>10</v>
      </c>
      <c r="C32" t="s">
        <v>57</v>
      </c>
      <c r="D32">
        <v>5</v>
      </c>
      <c r="E32">
        <v>100</v>
      </c>
      <c r="F32" t="s">
        <v>33</v>
      </c>
      <c r="G32" t="s">
        <v>33</v>
      </c>
      <c r="I32" t="s">
        <v>54</v>
      </c>
      <c r="J32" t="s">
        <v>55</v>
      </c>
    </row>
    <row r="33" spans="2:10" x14ac:dyDescent="0.3">
      <c r="B33">
        <f t="shared" si="0"/>
        <v>11</v>
      </c>
      <c r="C33" t="s">
        <v>58</v>
      </c>
      <c r="D33">
        <v>5</v>
      </c>
      <c r="E33">
        <v>200</v>
      </c>
      <c r="F33" t="s">
        <v>33</v>
      </c>
      <c r="G33" t="s">
        <v>32</v>
      </c>
      <c r="I33" t="s">
        <v>59</v>
      </c>
    </row>
    <row r="34" spans="2:10" x14ac:dyDescent="0.3">
      <c r="B34">
        <f t="shared" si="0"/>
        <v>12</v>
      </c>
      <c r="C34" t="s">
        <v>72</v>
      </c>
      <c r="D34">
        <v>5</v>
      </c>
      <c r="E34">
        <v>100</v>
      </c>
      <c r="F34" t="s">
        <v>33</v>
      </c>
      <c r="G34" t="s">
        <v>32</v>
      </c>
      <c r="I34" t="s">
        <v>73</v>
      </c>
      <c r="J34" t="s">
        <v>74</v>
      </c>
    </row>
  </sheetData>
  <dataValidations count="1">
    <dataValidation type="list" allowBlank="1" showInputMessage="1" showErrorMessage="1" sqref="F22:G34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H22:H34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49</v>
      </c>
      <c r="F7" t="s">
        <v>50</v>
      </c>
      <c r="G7" t="s">
        <v>51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45</v>
      </c>
      <c r="D5" t="s">
        <v>6</v>
      </c>
    </row>
    <row r="6" spans="3:9" x14ac:dyDescent="0.3">
      <c r="D6" t="s">
        <v>65</v>
      </c>
    </row>
    <row r="16" spans="3:9" x14ac:dyDescent="0.3">
      <c r="F16" t="s">
        <v>46</v>
      </c>
      <c r="G16" t="s">
        <v>47</v>
      </c>
      <c r="H16" t="s">
        <v>48</v>
      </c>
      <c r="I16" t="s">
        <v>6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2025-08-24T13:46:02Z</dcterms:modified>
</cp:coreProperties>
</file>