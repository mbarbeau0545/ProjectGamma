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STM32\ProjectGamma_Dev\Doc\ConfigPrj\ExcelCfg\STM32G474RE\"/>
    </mc:Choice>
  </mc:AlternateContent>
  <xr:revisionPtr revIDLastSave="0" documentId="13_ncr:1_{3A9BA993-F2F3-4D36-ABF0-AF71ED517BE2}" xr6:coauthVersionLast="47" xr6:coauthVersionMax="47" xr10:uidLastSave="{00000000-0000-0000-0000-000000000000}"/>
  <bookViews>
    <workbookView xWindow="-120" yWindow="-120" windowWidth="29040" windowHeight="15720" activeTab="1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6" i="5"/>
  <c r="L13" i="5"/>
  <c r="J14" i="5"/>
  <c r="M9" i="5" s="1"/>
  <c r="L31" i="5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D18" i="5"/>
  <c r="J8" i="5"/>
  <c r="M31" i="5"/>
  <c r="I61" i="5"/>
  <c r="I33" i="5"/>
  <c r="K33" i="5" s="1"/>
  <c r="L32" i="5"/>
  <c r="K32" i="5"/>
  <c r="M32" i="5" s="1"/>
  <c r="P30" i="5"/>
  <c r="K29" i="5"/>
  <c r="J18" i="5" l="1"/>
  <c r="J15" i="5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L18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<sst xmlns="http://schemas.openxmlformats.org/spreadsheetml/2006/main" count="1085" uniqueCount="501">
  <si>
    <t>Colonne1</t>
  </si>
  <si>
    <t>Colonne2</t>
  </si>
  <si>
    <t>Timer_name</t>
  </si>
  <si>
    <t>Number of channels</t>
  </si>
  <si>
    <t>TIMER_1</t>
  </si>
  <si>
    <t>TIMER_15</t>
  </si>
  <si>
    <t>TIMER_16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</si>
  <si>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</si>
  <si>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</si>
  <si>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</si>
  <si>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</si>
  <si>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</si>
  <si>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</si>
  <si>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</si>
  <si>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</si>
  <si>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</si>
  <si>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</si>
  <si>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</si>
  <si>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</si>
  <si>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</si>
  <si>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</si>
  <si>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</si>
  <si>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</si>
  <si>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</si>
  <si>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</si>
  <si>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</si>
  <si>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</si>
  <si>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</si>
  <si>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</si>
  <si>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</si>
  <si>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</si>
  <si>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</si>
  <si>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</si>
  <si>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</si>
  <si>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</si>
  <si>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</si>
  <si>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</si>
  <si>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</si>
  <si>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</si>
  <si>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</si>
  <si>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</si>
  <si>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</si>
  <si>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</si>
  <si>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</si>
  <si>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</si>
  <si>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</si>
  <si>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</si>
  <si>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</si>
  <si>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</si>
  <si>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</si>
  <si>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</si>
  <si>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</si>
  <si>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</si>
  <si>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</si>
  <si>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</si>
  <si>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</si>
  <si>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</si>
  <si>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</si>
  <si>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</si>
  <si>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</si>
  <si>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</si>
  <si>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</si>
  <si>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</si>
  <si>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</si>
  <si>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</si>
  <si>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</si>
  <si>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</si>
  <si>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</si>
  <si>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</si>
  <si>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</si>
  <si>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</si>
  <si>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</si>
  <si>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</si>
  <si>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</si>
  <si>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</si>
  <si>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</si>
  <si>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</si>
  <si>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</si>
  <si>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</si>
  <si>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</si>
  <si>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</si>
  <si>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</si>
  <si>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</si>
  <si>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</si>
  <si>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</si>
  <si>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</si>
  <si>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</si>
  <si>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</si>
  <si>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</si>
  <si>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</si>
  <si>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</si>
  <si>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</si>
  <si>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</si>
  <si>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</si>
  <si>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</si>
  <si>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</si>
  <si>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</si>
  <si>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</si>
  <si>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</si>
  <si>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</si>
  <si>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</si>
  <si>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</si>
  <si>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</si>
  <si>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</si>
  <si>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</si>
  <si>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</si>
  <si>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</si>
  <si>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</si>
  <si>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</si>
  <si>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</si>
  <si>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</si>
  <si>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</si>
  <si>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</si>
  <si>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</si>
  <si>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</si>
  <si>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</si>
  <si>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</si>
  <si>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</si>
  <si>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</si>
  <si>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</si>
  <si>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</si>
  <si>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</si>
  <si>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</si>
  <si>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</si>
  <si>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</si>
  <si>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</si>
  <si>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</si>
  <si>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</si>
  <si>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</si>
  <si>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</si>
  <si>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</si>
  <si>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</si>
  <si>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</si>
  <si>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</si>
  <si>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</si>
  <si>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</si>
  <si>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</si>
  <si>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</si>
  <si>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</si>
  <si>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</si>
  <si>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</si>
  <si>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</si>
  <si>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</si>
  <si>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</si>
  <si>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</si>
  <si>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</si>
  <si>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</si>
  <si>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</si>
  <si>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</si>
  <si>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</si>
  <si>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</si>
  <si>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</si>
  <si>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</si>
  <si>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</si>
  <si>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</si>
  <si>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</si>
  <si>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</si>
  <si>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</si>
  <si>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</si>
  <si>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</si>
  <si>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</si>
  <si>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</si>
  <si>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</si>
  <si>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</si>
  <si>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</si>
  <si>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</si>
  <si>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</si>
  <si>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</si>
  <si>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</si>
  <si>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</si>
  <si>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</si>
  <si>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</si>
  <si>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</si>
  <si>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</si>
  <si>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</si>
  <si>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</si>
  <si>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</si>
  <si>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</si>
  <si>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</si>
  <si>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</si>
  <si>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</si>
  <si>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</si>
  <si>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</si>
  <si>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</si>
  <si>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</si>
  <si>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</si>
  <si>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</si>
  <si>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</si>
  <si>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</si>
  <si>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</si>
  <si>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</si>
  <si>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</si>
  <si>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</si>
  <si>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</si>
  <si>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</si>
  <si>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</si>
  <si>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</si>
  <si>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</si>
  <si>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</si>
  <si>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</si>
  <si>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</si>
  <si>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</si>
  <si>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</si>
  <si>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</si>
  <si>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</si>
  <si>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</si>
  <si>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</si>
  <si>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</si>
  <si>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</si>
  <si>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</si>
  <si>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</si>
  <si>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</si>
  <si>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</si>
  <si>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</si>
  <si>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</si>
  <si>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</si>
  <si>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</si>
  <si>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</si>
  <si>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</si>
  <si>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</si>
  <si>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</si>
  <si>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</si>
  <si>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</si>
  <si>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</si>
  <si>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</si>
  <si>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</si>
  <si>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</si>
  <si>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</si>
  <si>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</si>
  <si>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</si>
  <si>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</si>
  <si>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</si>
  <si>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</si>
  <si>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</si>
  <si>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</si>
  <si>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</si>
  <si>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</si>
  <si>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</si>
  <si>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</si>
  <si>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</si>
  <si>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</si>
  <si>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</si>
  <si>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</si>
  <si>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</si>
  <si>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</si>
  <si>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</si>
  <si>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</si>
  <si>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</si>
  <si>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</si>
  <si>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</si>
  <si>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</si>
  <si>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</si>
  <si>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</si>
  <si>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</si>
  <si>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</si>
  <si>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</si>
  <si>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</si>
  <si>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</si>
  <si>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</si>
  <si>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</si>
  <si>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</si>
  <si>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</si>
  <si>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</si>
  <si>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</si>
  <si>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</si>
  <si>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</si>
  <si>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</si>
  <si>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</si>
  <si>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</si>
  <si>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</si>
  <si>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</si>
  <si>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</si>
  <si>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</si>
  <si>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</si>
  <si>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</si>
  <si>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</si>
  <si>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</si>
  <si>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</si>
  <si>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</si>
  <si>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</si>
  <si>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</si>
  <si>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</si>
  <si>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</si>
  <si>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</si>
  <si>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</si>
  <si>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</si>
  <si>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</si>
  <si>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</si>
  <si>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</si>
  <si>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</si>
  <si>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</si>
  <si>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</si>
  <si>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</si>
  <si>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</si>
  <si>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</si>
  <si>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</si>
  <si>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</si>
  <si>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</si>
  <si>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</si>
  <si>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</si>
  <si>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</si>
  <si>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</si>
  <si>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</si>
  <si>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</si>
  <si>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</si>
  <si>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</si>
  <si>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</si>
  <si>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</si>
  <si>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</si>
  <si>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</si>
  <si>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</si>
  <si>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</si>
  <si>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</si>
  <si>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</si>
  <si>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</si>
  <si>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</si>
  <si>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</si>
  <si>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</si>
  <si>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</si>
  <si>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</si>
  <si>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</si>
  <si>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</si>
  <si>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</si>
  <si>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</si>
  <si>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</si>
  <si>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</si>
  <si>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</si>
  <si>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</si>
  <si>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</si>
  <si>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</si>
  <si>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</si>
  <si>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</si>
  <si>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</si>
  <si>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</si>
  <si>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</si>
  <si>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</si>
  <si>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</si>
  <si>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</si>
  <si>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</si>
  <si>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</si>
  <si>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GPIO_AF7_USART2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</si>
  <si>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</si>
  <si>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</si>
  <si>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</si>
  <si>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</si>
  <si>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</si>
  <si>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</si>
  <si>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</si>
  <si>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</si>
  <si>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</si>
  <si>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</si>
  <si>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</si>
  <si>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</si>
  <si>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</si>
  <si>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</si>
  <si>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</si>
  <si>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</si>
  <si>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</si>
  <si>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</si>
  <si>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</si>
  <si>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</si>
  <si>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</si>
  <si>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</si>
  <si>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</si>
  <si>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</si>
  <si>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</si>
  <si>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</si>
  <si>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</si>
  <si>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</si>
  <si>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</si>
  <si>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</si>
  <si>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</si>
  <si>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</si>
  <si>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</si>
  <si>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</si>
  <si>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</si>
  <si>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</si>
  <si>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</si>
  <si>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</si>
  <si>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</si>
  <si>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</si>
  <si>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</si>
  <si>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</si>
  <si>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</si>
  <si>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</si>
  <si>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</si>
  <si>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</si>
  <si>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</si>
  <si>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</si>
  <si>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</si>
  <si>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</si>
  <si>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</si>
  <si>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</si>
  <si>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</si>
  <si>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</si>
  <si>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</si>
  <si>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</si>
  <si>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</si>
  <si>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</si>
  <si>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</si>
  <si>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</si>
  <si>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</si>
  <si>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</si>
  <si>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</si>
  <si>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</si>
  <si>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</si>
  <si>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</si>
  <si>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</si>
  <si>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</si>
  <si>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</si>
  <si>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</si>
  <si>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</si>
  <si>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</si>
  <si>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</si>
  <si>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</si>
  <si>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</si>
  <si>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</si>
  <si>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</si>
  <si>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</si>
  <si>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</si>
  <si>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</si>
  <si>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</si>
  <si>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</si>
  <si>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</si>
  <si>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</si>
  <si>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</si>
  <si>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</si>
  <si>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</si>
  <si>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</si>
  <si>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</si>
  <si>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</si>
  <si>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</si>
  <si>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</si>
  <si>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</si>
  <si>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</si>
  <si>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</si>
  <si>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</si>
  <si>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</si>
  <si>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</si>
  <si>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</si>
  <si>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</si>
  <si>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</si>
  <si>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</si>
  <si>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</si>
  <si>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</si>
  <si>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</si>
  <si>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</si>
  <si>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</si>
  <si>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</si>
  <si>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</si>
  <si>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</si>
  <si>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</si>
  <si>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</si>
  <si>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</si>
  <si>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</si>
  <si>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</si>
  <si>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</si>
  <si>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</si>
  <si>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</si>
  <si>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</si>
  <si>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</si>
  <si>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</si>
  <si>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</si>
  <si>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</si>
  <si>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</si>
  <si>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</si>
  <si>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</si>
  <si>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</si>
  <si>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</si>
  <si>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</si>
  <si>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GPIO_AF1_TIM15</t>
  </si>
  <si>
    <t>EXTI3_IRQN</t>
  </si>
  <si>
    <t>ADC_CHANNEL_18</t>
  </si>
  <si>
    <t>Channel spec</t>
  </si>
  <si>
    <t>VBAT</t>
  </si>
  <si>
    <t>0x00000000</t>
  </si>
  <si>
    <t>Enable</t>
  </si>
  <si>
    <t>TRUE</t>
  </si>
  <si>
    <t>FALSE</t>
  </si>
  <si>
    <t>Instance</t>
  </si>
  <si>
    <t>FDCAN1</t>
  </si>
  <si>
    <t>RxBuffer Size</t>
  </si>
  <si>
    <t>Tx buffer Size</t>
  </si>
  <si>
    <t>FDCAN2</t>
  </si>
  <si>
    <t>FDCAN3</t>
  </si>
  <si>
    <t>RCC Clock</t>
  </si>
  <si>
    <t>GPIO_AF9_FDCAN2</t>
  </si>
  <si>
    <t>USART3_RX</t>
  </si>
  <si>
    <t>USART3_TX</t>
  </si>
  <si>
    <t>voir dans cubeMx associé enable register DMA</t>
  </si>
  <si>
    <t>GPIO_AF11_FDCAN3</t>
  </si>
  <si>
    <t>TI1_Port</t>
  </si>
  <si>
    <t>TI1_Pin</t>
  </si>
  <si>
    <t>TI2_Port</t>
  </si>
  <si>
    <t>TI2_Pin</t>
  </si>
  <si>
    <t>Timer</t>
  </si>
  <si>
    <t>Channel</t>
  </si>
  <si>
    <t>Alternate Function</t>
  </si>
  <si>
    <t>GPIO_AF6_TIM1</t>
  </si>
  <si>
    <t>EXTI0_IRQN</t>
  </si>
  <si>
    <t>EXTI15_10_IRQN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</si>
</sst>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  <xf numFmtId="0" fontId="0" fillId="5" borderId="4" xfId="0" applyFill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sortState xmlns:xlrd2="http://schemas.microsoft.com/office/spreadsheetml/2017/richdata2" ref="H19:I119">
    <sortCondition ref="H18:H119"/>
  </sortState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G40:AG43" totalsRowShown="0">
  <autoFilter ref="AG40:AG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Z45" totalsRowShown="0">
  <autoFilter ref="V40:Z45" xr:uid="{A27CADD5-26F4-4DF6-9D41-CEE02A85C4E9}"/>
  <tableColumns count="5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  <tableColumn id="5" xr3:uid="{06173FC1-6C9B-4FF4-AB3F-A7854D314A0A}" name="Channel spe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8" totalsRowShown="0">
  <autoFilter ref="A6:B8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5" totalsRowShown="0">
  <autoFilter ref="AA7:AB15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0" totalsRowShown="0">
  <autoFilter ref="J6:N10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14" totalsRowShown="0">
  <autoFilter ref="W6:Y14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20" totalsRowShown="0">
  <autoFilter ref="P6:U20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1" totalsRowShown="0">
  <autoFilter ref="E6:H11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8" totalsRowShown="0">
  <autoFilter ref="BA29:BA48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B35:G38" totalsRowShown="0">
  <autoFilter ref="B35:G3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56E63F7-EF05-4679-832E-05A9EE093878}" name="FMKIO_EcdrCfg" displayName="FMKIO_EcdrCfg" ref="B44:H45" totalsRowShown="0" headerRowDxfId="19" dataDxfId="17" headerRowBorderDxfId="18" tableBorderDxfId="16" totalsRowBorderDxfId="15">
  <autoFilter ref="B44:H45" xr:uid="{256E63F7-EF05-4679-832E-05A9EE093878}"/>
  <tableColumns count="7">
    <tableColumn id="1" xr3:uid="{74AA91EE-00D8-40CF-9F42-67EACE0D9C4C}" name="TI1_Port" dataDxfId="14"/>
    <tableColumn id="2" xr3:uid="{3DD77F7D-1104-4312-8394-A1A72AB72CC2}" name="TI1_Pin" dataDxfId="13"/>
    <tableColumn id="3" xr3:uid="{8E67D3FE-CFCF-4F6B-AF08-A5775354CB1F}" name="TI2_Port" dataDxfId="12"/>
    <tableColumn id="4" xr3:uid="{DA2408AA-9077-43A1-9C98-C1CE03F9EB79}" name="TI2_Pin" dataDxfId="11"/>
    <tableColumn id="5" xr3:uid="{E995C9CD-1E23-4255-B933-582EF7B591FB}" name="Timer" dataDxfId="10"/>
    <tableColumn id="6" xr3:uid="{44E17610-C7FD-45EC-B7AE-2FD41A3055B9}" name="Channel" dataDxfId="9"/>
    <tableColumn id="7" xr3:uid="{782E3FB9-8180-45F3-A753-B1408125736E}" name="Alternate Function" dataDxfId="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2" totalsRowShown="0">
  <autoFilter ref="T17:W22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6" totalsRowShown="0">
  <autoFilter ref="B2:E16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8" totalsRowShown="0">
  <autoFilter ref="D5:G8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G119"/>
  <sheetViews>
    <sheetView topLeftCell="J14" zoomScale="148" zoomScaleNormal="97" workbookViewId="0">
      <selection activeCell="N28" sqref="N28"/>
    </sheetView>
  </sheetViews>
  <sheetFormatPr defaultColWidth="11.42578125" defaultRowHeight="15" x14ac:dyDescent="0.25"/>
  <cols>
    <col min="1" max="1" width="23.7109375" customWidth="1"/>
    <col min="2" max="2" width="24.7109375" customWidth="1"/>
    <col min="3" max="3" width="37.28515625" customWidth="1"/>
    <col min="4" max="4" width="26.42578125" customWidth="1"/>
    <col min="5" max="6" width="25.140625" customWidth="1"/>
    <col min="7" max="7" width="33.140625" customWidth="1"/>
    <col min="8" max="8" width="26.85546875" customWidth="1"/>
    <col min="9" max="9" width="21.42578125" customWidth="1"/>
    <col min="10" max="10" width="21.28515625" customWidth="1"/>
    <col min="12" max="12" width="20.42578125" customWidth="1"/>
    <col min="13" max="13" width="29.42578125" customWidth="1"/>
    <col min="14" max="14" width="21.28515625" customWidth="1"/>
    <col min="15" max="15" width="22.7109375" customWidth="1"/>
    <col min="16" max="16" width="23.42578125" customWidth="1"/>
    <col min="17" max="17" width="20.7109375" customWidth="1"/>
    <col min="18" max="18" width="21" customWidth="1"/>
    <col min="19" max="19" width="33.85546875" customWidth="1"/>
    <col min="20" max="20" width="35.28515625" customWidth="1"/>
    <col min="21" max="21" width="21.28515625" customWidth="1"/>
    <col min="22" max="22" width="19.140625" customWidth="1"/>
    <col min="23" max="23" width="18.7109375" customWidth="1"/>
    <col min="24" max="24" width="29.28515625" customWidth="1"/>
    <col min="26" max="26" width="17.42578125" customWidth="1"/>
    <col min="28" max="28" width="24" customWidth="1"/>
    <col min="31" max="31" width="17.7109375" customWidth="1"/>
  </cols>
  <sheetData>
    <row r="17" spans="1:30" x14ac:dyDescent="0.25">
      <c r="R17" t="s">
        <v>452</v>
      </c>
      <c r="S17" t="s">
        <v>453</v>
      </c>
      <c r="T17" t="s">
        <v>454</v>
      </c>
    </row>
    <row r="18" spans="1:30" x14ac:dyDescent="0.25">
      <c r="B18" t="s">
        <v>120</v>
      </c>
      <c r="D18" t="s">
        <v>19</v>
      </c>
      <c r="E18" t="s">
        <v>293</v>
      </c>
      <c r="F18" t="s">
        <v>396</v>
      </c>
      <c r="H18" t="s">
        <v>55</v>
      </c>
      <c r="I18" t="s">
        <v>56</v>
      </c>
      <c r="K18" t="s">
        <v>2</v>
      </c>
      <c r="L18" t="s">
        <v>3</v>
      </c>
      <c r="M18" t="s">
        <v>266</v>
      </c>
      <c r="N18" t="s">
        <v>267</v>
      </c>
      <c r="O18" t="s">
        <v>292</v>
      </c>
      <c r="R18" t="s">
        <v>248</v>
      </c>
      <c r="S18">
        <v>6</v>
      </c>
      <c r="T18">
        <v>2</v>
      </c>
    </row>
    <row r="19" spans="1:30" x14ac:dyDescent="0.25">
      <c r="B19" t="s">
        <v>121</v>
      </c>
      <c r="D19" t="s">
        <v>83</v>
      </c>
      <c r="E19" t="s">
        <v>300</v>
      </c>
      <c r="F19" t="s">
        <v>394</v>
      </c>
      <c r="H19" t="s">
        <v>136</v>
      </c>
      <c r="I19" t="s">
        <v>67</v>
      </c>
      <c r="K19" t="s">
        <v>69</v>
      </c>
      <c r="L19">
        <v>4</v>
      </c>
      <c r="M19" t="s">
        <v>143</v>
      </c>
      <c r="N19" t="s">
        <v>269</v>
      </c>
      <c r="O19" t="s">
        <v>291</v>
      </c>
    </row>
    <row r="20" spans="1:30" x14ac:dyDescent="0.25">
      <c r="D20" t="s">
        <v>228</v>
      </c>
      <c r="E20" t="s">
        <v>300</v>
      </c>
      <c r="F20" t="s">
        <v>394</v>
      </c>
      <c r="H20" t="s">
        <v>159</v>
      </c>
      <c r="I20" t="s">
        <v>67</v>
      </c>
      <c r="K20" t="s">
        <v>225</v>
      </c>
      <c r="L20">
        <v>4</v>
      </c>
      <c r="M20" t="s">
        <v>145</v>
      </c>
      <c r="N20" t="s">
        <v>269</v>
      </c>
      <c r="O20" t="s">
        <v>290</v>
      </c>
      <c r="AB20" t="s">
        <v>20</v>
      </c>
      <c r="AC20" t="s">
        <v>16</v>
      </c>
      <c r="AD20" t="s">
        <v>273</v>
      </c>
    </row>
    <row r="21" spans="1:30" x14ac:dyDescent="0.25">
      <c r="D21" t="s">
        <v>231</v>
      </c>
      <c r="E21" t="s">
        <v>300</v>
      </c>
      <c r="F21" t="s">
        <v>394</v>
      </c>
      <c r="H21" t="s">
        <v>173</v>
      </c>
      <c r="I21" t="s">
        <v>67</v>
      </c>
      <c r="K21" t="s">
        <v>70</v>
      </c>
      <c r="L21">
        <v>4</v>
      </c>
      <c r="M21" t="s">
        <v>62</v>
      </c>
      <c r="N21" t="s">
        <v>269</v>
      </c>
      <c r="O21" t="s">
        <v>290</v>
      </c>
      <c r="AB21" t="s">
        <v>327</v>
      </c>
      <c r="AC21">
        <v>8</v>
      </c>
      <c r="AD21" t="s">
        <v>83</v>
      </c>
    </row>
    <row r="22" spans="1:30" x14ac:dyDescent="0.25">
      <c r="D22" t="s">
        <v>232</v>
      </c>
      <c r="E22" t="s">
        <v>300</v>
      </c>
      <c r="F22" t="s">
        <v>394</v>
      </c>
      <c r="H22" t="s">
        <v>174</v>
      </c>
      <c r="I22" t="s">
        <v>67</v>
      </c>
      <c r="K22" t="s">
        <v>224</v>
      </c>
      <c r="L22">
        <v>4</v>
      </c>
      <c r="M22" t="s">
        <v>146</v>
      </c>
      <c r="N22" t="s">
        <v>269</v>
      </c>
      <c r="O22" t="s">
        <v>290</v>
      </c>
      <c r="AB22" t="s">
        <v>328</v>
      </c>
      <c r="AC22">
        <v>8</v>
      </c>
      <c r="AD22" t="s">
        <v>228</v>
      </c>
    </row>
    <row r="23" spans="1:30" x14ac:dyDescent="0.25">
      <c r="D23" t="s">
        <v>233</v>
      </c>
      <c r="E23" t="s">
        <v>300</v>
      </c>
      <c r="F23" t="s">
        <v>394</v>
      </c>
      <c r="H23" t="s">
        <v>176</v>
      </c>
      <c r="I23" t="s">
        <v>67</v>
      </c>
      <c r="K23" t="s">
        <v>241</v>
      </c>
      <c r="L23">
        <v>4</v>
      </c>
      <c r="M23" t="s">
        <v>162</v>
      </c>
      <c r="N23" t="s">
        <v>269</v>
      </c>
      <c r="O23" t="s">
        <v>290</v>
      </c>
    </row>
    <row r="24" spans="1:30" x14ac:dyDescent="0.25">
      <c r="D24" t="s">
        <v>234</v>
      </c>
      <c r="E24" t="s">
        <v>300</v>
      </c>
      <c r="F24" t="s">
        <v>394</v>
      </c>
      <c r="H24" t="s">
        <v>177</v>
      </c>
      <c r="I24" t="s">
        <v>67</v>
      </c>
      <c r="K24" t="s">
        <v>223</v>
      </c>
      <c r="L24">
        <v>1</v>
      </c>
      <c r="M24" t="s">
        <v>166</v>
      </c>
      <c r="N24" t="s">
        <v>270</v>
      </c>
      <c r="O24" t="s">
        <v>290</v>
      </c>
    </row>
    <row r="25" spans="1:30" x14ac:dyDescent="0.25">
      <c r="D25" t="s">
        <v>82</v>
      </c>
      <c r="E25" t="s">
        <v>300</v>
      </c>
      <c r="F25" t="s">
        <v>394</v>
      </c>
      <c r="H25" t="s">
        <v>178</v>
      </c>
      <c r="I25" t="s">
        <v>67</v>
      </c>
      <c r="K25" t="s">
        <v>222</v>
      </c>
      <c r="L25">
        <v>1</v>
      </c>
      <c r="M25" t="s">
        <v>167</v>
      </c>
      <c r="N25" t="s">
        <v>270</v>
      </c>
      <c r="O25" t="s">
        <v>291</v>
      </c>
    </row>
    <row r="26" spans="1:30" x14ac:dyDescent="0.25">
      <c r="D26" t="s">
        <v>257</v>
      </c>
      <c r="E26" t="s">
        <v>301</v>
      </c>
      <c r="F26" t="s">
        <v>394</v>
      </c>
      <c r="H26" t="s">
        <v>211</v>
      </c>
      <c r="I26" t="s">
        <v>67</v>
      </c>
      <c r="K26" t="s">
        <v>221</v>
      </c>
      <c r="L26">
        <v>4</v>
      </c>
      <c r="M26" t="s">
        <v>156</v>
      </c>
      <c r="N26" t="s">
        <v>269</v>
      </c>
      <c r="O26" t="s">
        <v>291</v>
      </c>
    </row>
    <row r="27" spans="1:30" x14ac:dyDescent="0.25">
      <c r="A27" t="s">
        <v>276</v>
      </c>
      <c r="B27" t="s">
        <v>278</v>
      </c>
      <c r="D27" t="s">
        <v>81</v>
      </c>
      <c r="E27" t="s">
        <v>301</v>
      </c>
      <c r="F27" t="s">
        <v>394</v>
      </c>
      <c r="H27" t="s">
        <v>187</v>
      </c>
      <c r="I27" t="s">
        <v>67</v>
      </c>
      <c r="K27" t="s">
        <v>71</v>
      </c>
      <c r="L27">
        <v>2</v>
      </c>
      <c r="M27" t="s">
        <v>142</v>
      </c>
      <c r="N27" t="s">
        <v>269</v>
      </c>
      <c r="O27" t="s">
        <v>291</v>
      </c>
    </row>
    <row r="28" spans="1:30" x14ac:dyDescent="0.25">
      <c r="A28" t="s">
        <v>277</v>
      </c>
      <c r="B28">
        <v>60</v>
      </c>
      <c r="D28" t="s">
        <v>229</v>
      </c>
      <c r="E28" t="s">
        <v>301</v>
      </c>
      <c r="F28" t="s">
        <v>394</v>
      </c>
      <c r="H28" t="s">
        <v>60</v>
      </c>
      <c r="I28" t="s">
        <v>67</v>
      </c>
      <c r="K28" t="s">
        <v>72</v>
      </c>
      <c r="L28">
        <v>1</v>
      </c>
      <c r="M28" t="s">
        <v>143</v>
      </c>
      <c r="N28" t="s">
        <v>269</v>
      </c>
      <c r="O28" t="s">
        <v>291</v>
      </c>
    </row>
    <row r="29" spans="1:30" x14ac:dyDescent="0.25">
      <c r="A29" t="s">
        <v>244</v>
      </c>
      <c r="B29">
        <v>170</v>
      </c>
      <c r="D29" t="s">
        <v>230</v>
      </c>
      <c r="E29" t="s">
        <v>301</v>
      </c>
      <c r="F29" t="s">
        <v>394</v>
      </c>
      <c r="H29" t="s">
        <v>130</v>
      </c>
      <c r="I29" t="s">
        <v>67</v>
      </c>
      <c r="K29" t="s">
        <v>73</v>
      </c>
      <c r="L29">
        <v>1</v>
      </c>
      <c r="M29" t="s">
        <v>144</v>
      </c>
      <c r="N29" t="s">
        <v>269</v>
      </c>
      <c r="O29" t="s">
        <v>291</v>
      </c>
    </row>
    <row r="30" spans="1:30" x14ac:dyDescent="0.25">
      <c r="D30" t="s">
        <v>80</v>
      </c>
      <c r="E30" t="s">
        <v>301</v>
      </c>
      <c r="F30" t="s">
        <v>394</v>
      </c>
      <c r="H30" t="s">
        <v>131</v>
      </c>
      <c r="I30" t="s">
        <v>67</v>
      </c>
      <c r="K30" t="s">
        <v>220</v>
      </c>
      <c r="L30">
        <v>4</v>
      </c>
      <c r="M30" t="s">
        <v>190</v>
      </c>
      <c r="N30" t="s">
        <v>269</v>
      </c>
      <c r="O30" t="s">
        <v>291</v>
      </c>
    </row>
    <row r="31" spans="1:30" x14ac:dyDescent="0.25">
      <c r="D31" t="s">
        <v>79</v>
      </c>
      <c r="E31" t="s">
        <v>301</v>
      </c>
      <c r="F31" t="s">
        <v>394</v>
      </c>
      <c r="H31" t="s">
        <v>132</v>
      </c>
      <c r="I31" t="s">
        <v>67</v>
      </c>
    </row>
    <row r="32" spans="1:30" x14ac:dyDescent="0.25">
      <c r="D32" t="s">
        <v>78</v>
      </c>
      <c r="E32" t="s">
        <v>301</v>
      </c>
      <c r="F32" t="s">
        <v>394</v>
      </c>
      <c r="H32" t="s">
        <v>133</v>
      </c>
      <c r="I32" t="s">
        <v>67</v>
      </c>
    </row>
    <row r="33" spans="4:33" x14ac:dyDescent="0.25">
      <c r="D33" t="s">
        <v>235</v>
      </c>
      <c r="E33" t="s">
        <v>299</v>
      </c>
      <c r="F33" t="s">
        <v>395</v>
      </c>
      <c r="H33" t="s">
        <v>134</v>
      </c>
      <c r="I33" t="s">
        <v>67</v>
      </c>
      <c r="P33" t="s">
        <v>7</v>
      </c>
      <c r="Q33" t="s">
        <v>8</v>
      </c>
    </row>
    <row r="34" spans="4:33" x14ac:dyDescent="0.25">
      <c r="D34" t="s">
        <v>236</v>
      </c>
      <c r="E34" t="s">
        <v>299</v>
      </c>
      <c r="F34" t="s">
        <v>395</v>
      </c>
      <c r="H34" t="s">
        <v>135</v>
      </c>
      <c r="I34" t="s">
        <v>67</v>
      </c>
      <c r="P34" t="s">
        <v>9</v>
      </c>
      <c r="Q34">
        <v>16</v>
      </c>
    </row>
    <row r="35" spans="4:33" x14ac:dyDescent="0.25">
      <c r="D35" t="s">
        <v>227</v>
      </c>
      <c r="E35" t="s">
        <v>291</v>
      </c>
      <c r="F35" t="s">
        <v>394</v>
      </c>
      <c r="H35" t="s">
        <v>207</v>
      </c>
      <c r="I35" t="s">
        <v>67</v>
      </c>
      <c r="P35" t="s">
        <v>10</v>
      </c>
      <c r="Q35">
        <v>16</v>
      </c>
    </row>
    <row r="36" spans="4:33" x14ac:dyDescent="0.25">
      <c r="D36" t="s">
        <v>226</v>
      </c>
      <c r="E36" t="s">
        <v>291</v>
      </c>
      <c r="F36" t="s">
        <v>394</v>
      </c>
      <c r="H36" t="s">
        <v>168</v>
      </c>
      <c r="I36" t="s">
        <v>67</v>
      </c>
      <c r="P36" t="s">
        <v>11</v>
      </c>
      <c r="Q36">
        <v>16</v>
      </c>
      <c r="Y36" t="s">
        <v>17</v>
      </c>
      <c r="Z36" t="s">
        <v>16</v>
      </c>
    </row>
    <row r="37" spans="4:33" x14ac:dyDescent="0.25">
      <c r="D37" t="s">
        <v>237</v>
      </c>
      <c r="E37" t="s">
        <v>291</v>
      </c>
      <c r="F37" t="s">
        <v>394</v>
      </c>
      <c r="H37" t="s">
        <v>169</v>
      </c>
      <c r="I37" t="s">
        <v>67</v>
      </c>
      <c r="P37" t="s">
        <v>12</v>
      </c>
      <c r="Q37">
        <v>16</v>
      </c>
      <c r="Y37" t="s">
        <v>18</v>
      </c>
      <c r="Z37" t="s">
        <v>18</v>
      </c>
    </row>
    <row r="38" spans="4:33" x14ac:dyDescent="0.25">
      <c r="D38" t="s">
        <v>238</v>
      </c>
      <c r="E38" t="s">
        <v>291</v>
      </c>
      <c r="F38" t="s">
        <v>394</v>
      </c>
      <c r="H38" t="s">
        <v>170</v>
      </c>
      <c r="I38" t="s">
        <v>67</v>
      </c>
      <c r="P38" t="s">
        <v>255</v>
      </c>
      <c r="Q38">
        <v>16</v>
      </c>
    </row>
    <row r="39" spans="4:33" x14ac:dyDescent="0.25">
      <c r="D39" t="s">
        <v>213</v>
      </c>
      <c r="E39" t="s">
        <v>301</v>
      </c>
      <c r="F39" t="s">
        <v>394</v>
      </c>
      <c r="H39" t="s">
        <v>171</v>
      </c>
      <c r="I39" t="s">
        <v>67</v>
      </c>
      <c r="P39" t="s">
        <v>13</v>
      </c>
      <c r="Q39">
        <v>16</v>
      </c>
    </row>
    <row r="40" spans="4:33" x14ac:dyDescent="0.25">
      <c r="D40" t="s">
        <v>239</v>
      </c>
      <c r="E40" t="s">
        <v>301</v>
      </c>
      <c r="F40" t="s">
        <v>394</v>
      </c>
      <c r="H40" t="s">
        <v>172</v>
      </c>
      <c r="I40" t="s">
        <v>67</v>
      </c>
      <c r="P40" t="s">
        <v>256</v>
      </c>
      <c r="Q40">
        <v>11</v>
      </c>
      <c r="V40" t="s">
        <v>15</v>
      </c>
      <c r="W40" t="s">
        <v>16</v>
      </c>
      <c r="X40" t="s">
        <v>272</v>
      </c>
      <c r="Y40" t="s">
        <v>273</v>
      </c>
      <c r="Z40" t="s">
        <v>473</v>
      </c>
      <c r="AG40" t="s">
        <v>86</v>
      </c>
    </row>
    <row r="41" spans="4:33" x14ac:dyDescent="0.25">
      <c r="D41" t="s">
        <v>240</v>
      </c>
      <c r="E41" t="s">
        <v>298</v>
      </c>
      <c r="F41" t="s">
        <v>395</v>
      </c>
      <c r="H41" t="s">
        <v>208</v>
      </c>
      <c r="I41" t="s">
        <v>67</v>
      </c>
      <c r="V41" t="s">
        <v>14</v>
      </c>
      <c r="W41">
        <v>19</v>
      </c>
      <c r="X41" t="s">
        <v>136</v>
      </c>
      <c r="Y41" t="s">
        <v>235</v>
      </c>
      <c r="AG41" t="s">
        <v>87</v>
      </c>
    </row>
    <row r="42" spans="4:33" x14ac:dyDescent="0.25">
      <c r="D42" t="s">
        <v>225</v>
      </c>
      <c r="E42" t="s">
        <v>290</v>
      </c>
      <c r="F42" t="s">
        <v>394</v>
      </c>
      <c r="H42" t="s">
        <v>209</v>
      </c>
      <c r="I42" t="s">
        <v>67</v>
      </c>
      <c r="V42" t="s">
        <v>258</v>
      </c>
      <c r="W42">
        <v>19</v>
      </c>
      <c r="X42" t="s">
        <v>136</v>
      </c>
      <c r="Y42" t="s">
        <v>235</v>
      </c>
      <c r="AG42" t="s">
        <v>67</v>
      </c>
    </row>
    <row r="43" spans="4:33" x14ac:dyDescent="0.25">
      <c r="D43" t="s">
        <v>70</v>
      </c>
      <c r="E43" t="s">
        <v>290</v>
      </c>
      <c r="F43" t="s">
        <v>394</v>
      </c>
      <c r="H43" t="s">
        <v>210</v>
      </c>
      <c r="I43" t="s">
        <v>67</v>
      </c>
      <c r="V43" t="s">
        <v>259</v>
      </c>
      <c r="W43">
        <v>19</v>
      </c>
      <c r="X43" t="s">
        <v>159</v>
      </c>
      <c r="Y43" t="s">
        <v>236</v>
      </c>
      <c r="AG43" t="s">
        <v>88</v>
      </c>
    </row>
    <row r="44" spans="4:33" x14ac:dyDescent="0.25">
      <c r="D44" t="s">
        <v>224</v>
      </c>
      <c r="E44" t="s">
        <v>290</v>
      </c>
      <c r="F44" t="s">
        <v>394</v>
      </c>
      <c r="H44" t="s">
        <v>205</v>
      </c>
      <c r="I44" t="s">
        <v>67</v>
      </c>
      <c r="V44" t="s">
        <v>260</v>
      </c>
      <c r="W44">
        <v>19</v>
      </c>
      <c r="X44" t="s">
        <v>173</v>
      </c>
      <c r="Y44" t="s">
        <v>236</v>
      </c>
    </row>
    <row r="45" spans="4:33" x14ac:dyDescent="0.25">
      <c r="D45" t="s">
        <v>241</v>
      </c>
      <c r="E45" t="s">
        <v>290</v>
      </c>
      <c r="F45" t="s">
        <v>394</v>
      </c>
      <c r="H45" t="s">
        <v>125</v>
      </c>
      <c r="I45" t="s">
        <v>67</v>
      </c>
      <c r="V45" t="s">
        <v>261</v>
      </c>
      <c r="W45">
        <v>19</v>
      </c>
      <c r="X45" t="s">
        <v>174</v>
      </c>
      <c r="Y45" t="s">
        <v>236</v>
      </c>
    </row>
    <row r="46" spans="4:33" x14ac:dyDescent="0.25">
      <c r="D46" t="s">
        <v>223</v>
      </c>
      <c r="E46" t="s">
        <v>290</v>
      </c>
      <c r="F46" t="s">
        <v>394</v>
      </c>
      <c r="H46" t="s">
        <v>126</v>
      </c>
      <c r="I46" t="s">
        <v>67</v>
      </c>
      <c r="AF46" t="s">
        <v>268</v>
      </c>
    </row>
    <row r="47" spans="4:33" x14ac:dyDescent="0.25">
      <c r="D47" t="s">
        <v>222</v>
      </c>
      <c r="E47" t="s">
        <v>290</v>
      </c>
      <c r="F47" t="s">
        <v>394</v>
      </c>
      <c r="H47" t="s">
        <v>152</v>
      </c>
      <c r="I47" t="s">
        <v>67</v>
      </c>
      <c r="AF47" t="s">
        <v>269</v>
      </c>
    </row>
    <row r="48" spans="4:33" x14ac:dyDescent="0.25">
      <c r="D48" t="s">
        <v>242</v>
      </c>
      <c r="E48" t="s">
        <v>290</v>
      </c>
      <c r="F48" t="s">
        <v>394</v>
      </c>
      <c r="H48" t="s">
        <v>127</v>
      </c>
      <c r="I48" t="s">
        <v>67</v>
      </c>
      <c r="AF48" t="s">
        <v>270</v>
      </c>
    </row>
    <row r="49" spans="4:32" x14ac:dyDescent="0.25">
      <c r="D49" t="s">
        <v>243</v>
      </c>
      <c r="E49" t="s">
        <v>290</v>
      </c>
      <c r="F49" t="s">
        <v>394</v>
      </c>
      <c r="H49" t="s">
        <v>128</v>
      </c>
      <c r="I49" t="s">
        <v>67</v>
      </c>
      <c r="AF49" t="s">
        <v>271</v>
      </c>
    </row>
    <row r="50" spans="4:32" x14ac:dyDescent="0.25">
      <c r="D50" t="s">
        <v>84</v>
      </c>
      <c r="E50" t="s">
        <v>290</v>
      </c>
      <c r="F50" t="s">
        <v>394</v>
      </c>
      <c r="H50" t="s">
        <v>129</v>
      </c>
      <c r="I50" t="s">
        <v>67</v>
      </c>
    </row>
    <row r="51" spans="4:32" x14ac:dyDescent="0.25">
      <c r="D51" t="s">
        <v>75</v>
      </c>
      <c r="E51" t="s">
        <v>290</v>
      </c>
      <c r="F51" t="s">
        <v>394</v>
      </c>
      <c r="H51" t="s">
        <v>141</v>
      </c>
      <c r="I51" t="s">
        <v>67</v>
      </c>
    </row>
    <row r="52" spans="4:32" x14ac:dyDescent="0.25">
      <c r="D52" t="s">
        <v>218</v>
      </c>
      <c r="E52" t="s">
        <v>290</v>
      </c>
      <c r="F52" t="s">
        <v>394</v>
      </c>
      <c r="H52" t="s">
        <v>139</v>
      </c>
      <c r="I52" t="s">
        <v>88</v>
      </c>
      <c r="AF52" t="s">
        <v>289</v>
      </c>
    </row>
    <row r="53" spans="4:32" x14ac:dyDescent="0.25">
      <c r="D53" t="s">
        <v>77</v>
      </c>
      <c r="E53" t="s">
        <v>290</v>
      </c>
      <c r="F53" t="s">
        <v>395</v>
      </c>
      <c r="H53" t="s">
        <v>140</v>
      </c>
      <c r="I53" t="s">
        <v>88</v>
      </c>
      <c r="AF53" t="s">
        <v>294</v>
      </c>
    </row>
    <row r="54" spans="4:32" x14ac:dyDescent="0.25">
      <c r="D54" t="s">
        <v>217</v>
      </c>
      <c r="E54" t="s">
        <v>290</v>
      </c>
      <c r="F54" t="s">
        <v>395</v>
      </c>
      <c r="H54" t="s">
        <v>197</v>
      </c>
      <c r="I54" t="s">
        <v>88</v>
      </c>
      <c r="AF54" t="s">
        <v>295</v>
      </c>
    </row>
    <row r="55" spans="4:32" x14ac:dyDescent="0.25">
      <c r="D55" t="s">
        <v>274</v>
      </c>
      <c r="E55" t="s">
        <v>290</v>
      </c>
      <c r="F55" t="s">
        <v>395</v>
      </c>
      <c r="H55" t="s">
        <v>198</v>
      </c>
      <c r="I55" t="s">
        <v>88</v>
      </c>
      <c r="AF55" t="s">
        <v>296</v>
      </c>
    </row>
    <row r="56" spans="4:32" x14ac:dyDescent="0.25">
      <c r="D56" t="s">
        <v>275</v>
      </c>
      <c r="E56" t="s">
        <v>290</v>
      </c>
      <c r="F56" t="s">
        <v>395</v>
      </c>
      <c r="H56" t="s">
        <v>199</v>
      </c>
      <c r="I56" t="s">
        <v>88</v>
      </c>
      <c r="AF56" t="s">
        <v>297</v>
      </c>
    </row>
    <row r="57" spans="4:32" x14ac:dyDescent="0.25">
      <c r="D57" t="s">
        <v>216</v>
      </c>
      <c r="E57" t="s">
        <v>290</v>
      </c>
      <c r="F57" t="s">
        <v>394</v>
      </c>
      <c r="H57" t="s">
        <v>200</v>
      </c>
      <c r="I57" t="s">
        <v>88</v>
      </c>
      <c r="AF57" t="s">
        <v>300</v>
      </c>
    </row>
    <row r="58" spans="4:32" x14ac:dyDescent="0.25">
      <c r="D58" t="s">
        <v>214</v>
      </c>
      <c r="E58" t="s">
        <v>290</v>
      </c>
      <c r="F58" t="s">
        <v>394</v>
      </c>
      <c r="H58" t="s">
        <v>58</v>
      </c>
      <c r="I58" t="s">
        <v>67</v>
      </c>
      <c r="AF58" t="s">
        <v>301</v>
      </c>
    </row>
    <row r="59" spans="4:32" x14ac:dyDescent="0.25">
      <c r="D59" t="s">
        <v>244</v>
      </c>
      <c r="E59" t="s">
        <v>298</v>
      </c>
      <c r="F59" t="s">
        <v>395</v>
      </c>
      <c r="H59" t="s">
        <v>212</v>
      </c>
      <c r="I59" t="s">
        <v>67</v>
      </c>
      <c r="AF59" t="s">
        <v>290</v>
      </c>
    </row>
    <row r="60" spans="4:32" x14ac:dyDescent="0.25">
      <c r="D60" t="s">
        <v>85</v>
      </c>
      <c r="E60" t="s">
        <v>290</v>
      </c>
      <c r="F60" t="s">
        <v>394</v>
      </c>
      <c r="H60" t="s">
        <v>160</v>
      </c>
      <c r="I60" t="s">
        <v>67</v>
      </c>
      <c r="AF60" t="s">
        <v>291</v>
      </c>
    </row>
    <row r="61" spans="4:32" x14ac:dyDescent="0.25">
      <c r="D61" t="s">
        <v>215</v>
      </c>
      <c r="E61" t="s">
        <v>290</v>
      </c>
      <c r="F61" t="s">
        <v>395</v>
      </c>
      <c r="H61" t="s">
        <v>193</v>
      </c>
      <c r="I61" t="s">
        <v>88</v>
      </c>
      <c r="AF61" t="s">
        <v>298</v>
      </c>
    </row>
    <row r="62" spans="4:32" x14ac:dyDescent="0.25">
      <c r="D62" t="s">
        <v>219</v>
      </c>
      <c r="E62" t="s">
        <v>290</v>
      </c>
      <c r="F62" t="s">
        <v>394</v>
      </c>
      <c r="H62" t="s">
        <v>185</v>
      </c>
      <c r="I62" t="s">
        <v>88</v>
      </c>
      <c r="AF62" t="s">
        <v>299</v>
      </c>
    </row>
    <row r="63" spans="4:32" x14ac:dyDescent="0.25">
      <c r="D63" t="s">
        <v>245</v>
      </c>
      <c r="E63" t="s">
        <v>290</v>
      </c>
      <c r="F63" t="s">
        <v>394</v>
      </c>
      <c r="H63" t="s">
        <v>179</v>
      </c>
      <c r="I63" t="s">
        <v>88</v>
      </c>
    </row>
    <row r="64" spans="4:32" x14ac:dyDescent="0.25">
      <c r="D64" t="s">
        <v>68</v>
      </c>
      <c r="E64" t="s">
        <v>291</v>
      </c>
      <c r="F64" t="s">
        <v>394</v>
      </c>
      <c r="H64" t="s">
        <v>180</v>
      </c>
      <c r="I64" t="s">
        <v>88</v>
      </c>
    </row>
    <row r="65" spans="4:9" x14ac:dyDescent="0.25">
      <c r="D65" t="s">
        <v>69</v>
      </c>
      <c r="E65" t="s">
        <v>291</v>
      </c>
      <c r="F65" t="s">
        <v>394</v>
      </c>
      <c r="H65" t="s">
        <v>181</v>
      </c>
      <c r="I65" t="s">
        <v>88</v>
      </c>
    </row>
    <row r="66" spans="4:9" x14ac:dyDescent="0.25">
      <c r="D66" t="s">
        <v>74</v>
      </c>
      <c r="E66" t="s">
        <v>291</v>
      </c>
      <c r="F66" t="s">
        <v>394</v>
      </c>
      <c r="H66" t="s">
        <v>182</v>
      </c>
      <c r="I66" t="s">
        <v>88</v>
      </c>
    </row>
    <row r="67" spans="4:9" x14ac:dyDescent="0.25">
      <c r="D67" t="s">
        <v>221</v>
      </c>
      <c r="E67" t="s">
        <v>291</v>
      </c>
      <c r="F67" t="s">
        <v>394</v>
      </c>
      <c r="H67" t="s">
        <v>183</v>
      </c>
      <c r="I67" t="s">
        <v>88</v>
      </c>
    </row>
    <row r="68" spans="4:9" x14ac:dyDescent="0.25">
      <c r="D68" t="s">
        <v>76</v>
      </c>
      <c r="E68" t="s">
        <v>291</v>
      </c>
      <c r="F68" t="s">
        <v>395</v>
      </c>
      <c r="H68" t="s">
        <v>184</v>
      </c>
      <c r="I68" t="s">
        <v>88</v>
      </c>
    </row>
    <row r="69" spans="4:9" x14ac:dyDescent="0.25">
      <c r="D69" t="s">
        <v>246</v>
      </c>
      <c r="E69" t="s">
        <v>291</v>
      </c>
      <c r="F69" t="s">
        <v>394</v>
      </c>
      <c r="H69" t="s">
        <v>186</v>
      </c>
      <c r="I69" t="s">
        <v>88</v>
      </c>
    </row>
    <row r="70" spans="4:9" x14ac:dyDescent="0.25">
      <c r="D70" t="s">
        <v>71</v>
      </c>
      <c r="E70" t="s">
        <v>291</v>
      </c>
      <c r="F70" t="s">
        <v>394</v>
      </c>
      <c r="H70" t="s">
        <v>148</v>
      </c>
      <c r="I70" t="s">
        <v>67</v>
      </c>
    </row>
    <row r="71" spans="4:9" x14ac:dyDescent="0.25">
      <c r="D71" t="s">
        <v>72</v>
      </c>
      <c r="E71" t="s">
        <v>291</v>
      </c>
      <c r="F71" t="s">
        <v>394</v>
      </c>
      <c r="H71" t="s">
        <v>147</v>
      </c>
      <c r="I71" t="s">
        <v>67</v>
      </c>
    </row>
    <row r="72" spans="4:9" x14ac:dyDescent="0.25">
      <c r="D72" t="s">
        <v>73</v>
      </c>
      <c r="E72" t="s">
        <v>291</v>
      </c>
      <c r="F72" t="s">
        <v>394</v>
      </c>
      <c r="H72" t="s">
        <v>150</v>
      </c>
      <c r="I72" t="s">
        <v>67</v>
      </c>
    </row>
    <row r="73" spans="4:9" x14ac:dyDescent="0.25">
      <c r="D73" t="s">
        <v>220</v>
      </c>
      <c r="E73" t="s">
        <v>291</v>
      </c>
      <c r="F73" t="s">
        <v>394</v>
      </c>
      <c r="H73" t="s">
        <v>149</v>
      </c>
      <c r="I73" t="s">
        <v>67</v>
      </c>
    </row>
    <row r="74" spans="4:9" x14ac:dyDescent="0.25">
      <c r="D74" t="s">
        <v>247</v>
      </c>
      <c r="E74" t="s">
        <v>291</v>
      </c>
      <c r="F74" t="s">
        <v>394</v>
      </c>
      <c r="H74" t="s">
        <v>204</v>
      </c>
      <c r="I74" t="s">
        <v>67</v>
      </c>
    </row>
    <row r="75" spans="4:9" x14ac:dyDescent="0.25">
      <c r="D75" t="s">
        <v>248</v>
      </c>
      <c r="E75" t="s">
        <v>291</v>
      </c>
      <c r="F75" t="s">
        <v>394</v>
      </c>
      <c r="H75" t="s">
        <v>203</v>
      </c>
      <c r="I75" t="s">
        <v>67</v>
      </c>
    </row>
    <row r="76" spans="4:9" x14ac:dyDescent="0.25">
      <c r="H76" t="s">
        <v>195</v>
      </c>
      <c r="I76" t="s">
        <v>67</v>
      </c>
    </row>
    <row r="77" spans="4:9" x14ac:dyDescent="0.25">
      <c r="H77" t="s">
        <v>194</v>
      </c>
      <c r="I77" t="s">
        <v>67</v>
      </c>
    </row>
    <row r="78" spans="4:9" x14ac:dyDescent="0.25">
      <c r="H78" t="s">
        <v>161</v>
      </c>
      <c r="I78" t="s">
        <v>67</v>
      </c>
    </row>
    <row r="79" spans="4:9" x14ac:dyDescent="0.25">
      <c r="H79" t="s">
        <v>202</v>
      </c>
      <c r="I79" t="s">
        <v>67</v>
      </c>
    </row>
    <row r="80" spans="4:9" x14ac:dyDescent="0.25">
      <c r="H80" t="s">
        <v>122</v>
      </c>
      <c r="I80" t="s">
        <v>67</v>
      </c>
    </row>
    <row r="81" spans="8:9" x14ac:dyDescent="0.25">
      <c r="H81" t="s">
        <v>206</v>
      </c>
      <c r="I81" t="s">
        <v>67</v>
      </c>
    </row>
    <row r="82" spans="8:9" x14ac:dyDescent="0.25">
      <c r="H82" t="s">
        <v>59</v>
      </c>
      <c r="I82" t="s">
        <v>67</v>
      </c>
    </row>
    <row r="83" spans="8:9" x14ac:dyDescent="0.25">
      <c r="H83" t="s">
        <v>201</v>
      </c>
      <c r="I83" t="s">
        <v>67</v>
      </c>
    </row>
    <row r="84" spans="8:9" x14ac:dyDescent="0.25">
      <c r="H84" t="s">
        <v>153</v>
      </c>
      <c r="I84" t="s">
        <v>67</v>
      </c>
    </row>
    <row r="85" spans="8:9" x14ac:dyDescent="0.25">
      <c r="H85" t="s">
        <v>123</v>
      </c>
      <c r="I85" t="s">
        <v>67</v>
      </c>
    </row>
    <row r="86" spans="8:9" x14ac:dyDescent="0.25">
      <c r="H86" t="s">
        <v>124</v>
      </c>
      <c r="I86" t="s">
        <v>67</v>
      </c>
    </row>
    <row r="87" spans="8:9" x14ac:dyDescent="0.25">
      <c r="H87" t="s">
        <v>188</v>
      </c>
      <c r="I87" t="s">
        <v>67</v>
      </c>
    </row>
    <row r="88" spans="8:9" x14ac:dyDescent="0.25">
      <c r="H88" t="s">
        <v>63</v>
      </c>
      <c r="I88" t="s">
        <v>67</v>
      </c>
    </row>
    <row r="89" spans="8:9" x14ac:dyDescent="0.25">
      <c r="H89" t="s">
        <v>64</v>
      </c>
      <c r="I89" t="s">
        <v>67</v>
      </c>
    </row>
    <row r="90" spans="8:9" x14ac:dyDescent="0.25">
      <c r="H90" t="s">
        <v>163</v>
      </c>
      <c r="I90" t="s">
        <v>67</v>
      </c>
    </row>
    <row r="91" spans="8:9" x14ac:dyDescent="0.25">
      <c r="H91" t="s">
        <v>196</v>
      </c>
      <c r="I91" t="s">
        <v>67</v>
      </c>
    </row>
    <row r="92" spans="8:9" x14ac:dyDescent="0.25">
      <c r="H92" t="s">
        <v>142</v>
      </c>
      <c r="I92" t="s">
        <v>88</v>
      </c>
    </row>
    <row r="93" spans="8:9" x14ac:dyDescent="0.25">
      <c r="H93" t="s">
        <v>61</v>
      </c>
      <c r="I93" t="s">
        <v>88</v>
      </c>
    </row>
    <row r="94" spans="8:9" x14ac:dyDescent="0.25">
      <c r="H94" t="s">
        <v>144</v>
      </c>
      <c r="I94" t="s">
        <v>88</v>
      </c>
    </row>
    <row r="95" spans="8:9" x14ac:dyDescent="0.25">
      <c r="H95" t="s">
        <v>143</v>
      </c>
      <c r="I95" t="s">
        <v>88</v>
      </c>
    </row>
    <row r="96" spans="8:9" x14ac:dyDescent="0.25">
      <c r="H96" t="s">
        <v>145</v>
      </c>
      <c r="I96" t="s">
        <v>88</v>
      </c>
    </row>
    <row r="97" spans="8:9" x14ac:dyDescent="0.25">
      <c r="H97" t="s">
        <v>189</v>
      </c>
      <c r="I97" t="s">
        <v>88</v>
      </c>
    </row>
    <row r="98" spans="8:9" x14ac:dyDescent="0.25">
      <c r="H98" t="s">
        <v>192</v>
      </c>
      <c r="I98" t="s">
        <v>88</v>
      </c>
    </row>
    <row r="99" spans="8:9" x14ac:dyDescent="0.25">
      <c r="H99" t="s">
        <v>191</v>
      </c>
      <c r="I99" t="s">
        <v>88</v>
      </c>
    </row>
    <row r="100" spans="8:9" x14ac:dyDescent="0.25">
      <c r="H100" t="s">
        <v>190</v>
      </c>
      <c r="I100" t="s">
        <v>88</v>
      </c>
    </row>
    <row r="101" spans="8:9" x14ac:dyDescent="0.25">
      <c r="H101" t="s">
        <v>62</v>
      </c>
      <c r="I101" t="s">
        <v>88</v>
      </c>
    </row>
    <row r="102" spans="8:9" x14ac:dyDescent="0.25">
      <c r="H102" t="s">
        <v>146</v>
      </c>
      <c r="I102" t="s">
        <v>88</v>
      </c>
    </row>
    <row r="103" spans="8:9" x14ac:dyDescent="0.25">
      <c r="H103" t="s">
        <v>162</v>
      </c>
      <c r="I103" t="s">
        <v>88</v>
      </c>
    </row>
    <row r="104" spans="8:9" x14ac:dyDescent="0.25">
      <c r="H104" t="s">
        <v>166</v>
      </c>
      <c r="I104" t="s">
        <v>88</v>
      </c>
    </row>
    <row r="105" spans="8:9" x14ac:dyDescent="0.25">
      <c r="H105" t="s">
        <v>167</v>
      </c>
      <c r="I105" t="s">
        <v>87</v>
      </c>
    </row>
    <row r="106" spans="8:9" x14ac:dyDescent="0.25">
      <c r="H106" t="s">
        <v>155</v>
      </c>
      <c r="I106" t="s">
        <v>88</v>
      </c>
    </row>
    <row r="107" spans="8:9" x14ac:dyDescent="0.25">
      <c r="H107" t="s">
        <v>158</v>
      </c>
      <c r="I107" t="s">
        <v>88</v>
      </c>
    </row>
    <row r="108" spans="8:9" x14ac:dyDescent="0.25">
      <c r="H108" t="s">
        <v>157</v>
      </c>
      <c r="I108" t="s">
        <v>88</v>
      </c>
    </row>
    <row r="109" spans="8:9" x14ac:dyDescent="0.25">
      <c r="H109" t="s">
        <v>156</v>
      </c>
      <c r="I109" t="s">
        <v>88</v>
      </c>
    </row>
    <row r="110" spans="8:9" x14ac:dyDescent="0.25">
      <c r="H110" t="s">
        <v>164</v>
      </c>
      <c r="I110" t="s">
        <v>67</v>
      </c>
    </row>
    <row r="111" spans="8:9" x14ac:dyDescent="0.25">
      <c r="H111" t="s">
        <v>165</v>
      </c>
      <c r="I111" t="s">
        <v>67</v>
      </c>
    </row>
    <row r="112" spans="8:9" x14ac:dyDescent="0.25">
      <c r="H112" t="s">
        <v>175</v>
      </c>
      <c r="I112" t="s">
        <v>67</v>
      </c>
    </row>
    <row r="113" spans="8:9" x14ac:dyDescent="0.25">
      <c r="H113" t="s">
        <v>65</v>
      </c>
      <c r="I113" t="s">
        <v>67</v>
      </c>
    </row>
    <row r="114" spans="8:9" x14ac:dyDescent="0.25">
      <c r="H114" t="s">
        <v>66</v>
      </c>
      <c r="I114" t="s">
        <v>67</v>
      </c>
    </row>
    <row r="115" spans="8:9" x14ac:dyDescent="0.25">
      <c r="H115" t="s">
        <v>151</v>
      </c>
      <c r="I115" t="s">
        <v>67</v>
      </c>
    </row>
    <row r="116" spans="8:9" x14ac:dyDescent="0.25">
      <c r="H116" t="s">
        <v>137</v>
      </c>
      <c r="I116" t="s">
        <v>67</v>
      </c>
    </row>
    <row r="117" spans="8:9" x14ac:dyDescent="0.25">
      <c r="H117" t="s">
        <v>138</v>
      </c>
      <c r="I117" t="s">
        <v>67</v>
      </c>
    </row>
    <row r="118" spans="8:9" x14ac:dyDescent="0.25">
      <c r="H118" t="s">
        <v>154</v>
      </c>
      <c r="I118" t="s">
        <v>67</v>
      </c>
    </row>
    <row r="119" spans="8:9" x14ac:dyDescent="0.25">
      <c r="H119" t="s">
        <v>57</v>
      </c>
      <c r="I119" t="s">
        <v>88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$AG$41:$AG$43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abSelected="1" topLeftCell="P1" zoomScale="98" zoomScaleNormal="95" workbookViewId="0">
      <selection activeCell="AA16" sqref="AA16"/>
    </sheetView>
  </sheetViews>
  <sheetFormatPr defaultColWidth="11.42578125" defaultRowHeight="15" x14ac:dyDescent="0.25"/>
  <cols>
    <col min="1" max="1" width="25.140625" customWidth="1"/>
    <col min="2" max="2" width="24.7109375" customWidth="1"/>
    <col min="3" max="3" width="25.28515625" customWidth="1"/>
    <col min="5" max="5" width="25" customWidth="1"/>
    <col min="6" max="6" width="22.140625" customWidth="1"/>
    <col min="7" max="7" width="25" customWidth="1"/>
    <col min="8" max="8" width="22.85546875" customWidth="1"/>
    <col min="9" max="9" width="15.28515625" customWidth="1"/>
    <col min="10" max="10" width="24.140625" customWidth="1"/>
    <col min="12" max="12" width="21.140625" customWidth="1"/>
    <col min="13" max="13" width="17.5703125" customWidth="1"/>
    <col min="14" max="14" width="18.140625" customWidth="1"/>
    <col min="15" max="15" width="28.5703125" customWidth="1"/>
    <col min="16" max="16" width="24.7109375" customWidth="1"/>
    <col min="18" max="18" width="18.5703125" customWidth="1"/>
    <col min="19" max="19" width="23.28515625" customWidth="1"/>
    <col min="20" max="20" width="18.42578125" customWidth="1"/>
    <col min="21" max="21" width="23.140625" customWidth="1"/>
    <col min="23" max="23" width="25.140625" customWidth="1"/>
    <col min="24" max="24" width="34" customWidth="1"/>
    <col min="25" max="25" width="16.7109375" customWidth="1"/>
    <col min="26" max="26" width="20.7109375" customWidth="1"/>
    <col min="27" max="27" width="16.7109375" customWidth="1"/>
    <col min="30" max="30" width="13" customWidth="1"/>
    <col min="31" max="31" width="17.7109375" customWidth="1"/>
    <col min="38" max="38" width="17.28515625" customWidth="1"/>
    <col min="40" max="40" width="19.42578125" customWidth="1"/>
    <col min="53" max="53" width="40.5703125" customWidth="1"/>
  </cols>
  <sheetData>
    <row r="2" spans="1:28" x14ac:dyDescent="0.25">
      <c r="A2" s="1" t="s">
        <v>429</v>
      </c>
      <c r="C2" s="5" t="s">
        <v>428</v>
      </c>
    </row>
    <row r="5" spans="1:28" x14ac:dyDescent="0.25">
      <c r="A5" t="s">
        <v>51</v>
      </c>
      <c r="E5" t="s">
        <v>50</v>
      </c>
      <c r="J5" t="s">
        <v>52</v>
      </c>
      <c r="L5" t="s">
        <v>279</v>
      </c>
      <c r="P5" t="s">
        <v>54</v>
      </c>
      <c r="R5" t="s">
        <v>279</v>
      </c>
      <c r="V5" t="s">
        <v>53</v>
      </c>
    </row>
    <row r="6" spans="1:28" x14ac:dyDescent="0.25">
      <c r="A6" t="s">
        <v>21</v>
      </c>
      <c r="B6" t="s">
        <v>22</v>
      </c>
      <c r="E6" t="s">
        <v>21</v>
      </c>
      <c r="F6" t="s">
        <v>22</v>
      </c>
      <c r="G6" t="s">
        <v>46</v>
      </c>
      <c r="H6" t="s">
        <v>47</v>
      </c>
      <c r="J6" t="s">
        <v>21</v>
      </c>
      <c r="K6" t="s">
        <v>22</v>
      </c>
      <c r="L6" t="s">
        <v>40</v>
      </c>
      <c r="M6" t="s">
        <v>41</v>
      </c>
      <c r="N6" t="s">
        <v>42</v>
      </c>
      <c r="P6" t="s">
        <v>21</v>
      </c>
      <c r="Q6" t="s">
        <v>22</v>
      </c>
      <c r="R6" t="s">
        <v>40</v>
      </c>
      <c r="S6" t="s">
        <v>41</v>
      </c>
      <c r="T6" t="s">
        <v>42</v>
      </c>
      <c r="U6" t="s">
        <v>455</v>
      </c>
      <c r="W6" t="s">
        <v>21</v>
      </c>
      <c r="X6" t="s">
        <v>22</v>
      </c>
      <c r="Y6" t="s">
        <v>45</v>
      </c>
      <c r="AA6" t="s">
        <v>35</v>
      </c>
    </row>
    <row r="7" spans="1:28" x14ac:dyDescent="0.25">
      <c r="A7" t="s">
        <v>11</v>
      </c>
      <c r="B7" t="s">
        <v>37</v>
      </c>
      <c r="E7" t="s">
        <v>9</v>
      </c>
      <c r="F7" t="s">
        <v>24</v>
      </c>
      <c r="G7" t="s">
        <v>14</v>
      </c>
      <c r="H7" t="s">
        <v>94</v>
      </c>
      <c r="J7" t="s">
        <v>10</v>
      </c>
      <c r="K7" t="s">
        <v>29</v>
      </c>
      <c r="L7" t="s">
        <v>425</v>
      </c>
      <c r="M7" t="s">
        <v>249</v>
      </c>
      <c r="N7" t="s">
        <v>43</v>
      </c>
      <c r="P7" t="s">
        <v>10</v>
      </c>
      <c r="Q7" t="s">
        <v>27</v>
      </c>
      <c r="R7" t="s">
        <v>469</v>
      </c>
      <c r="S7" t="s">
        <v>6</v>
      </c>
      <c r="T7" t="s">
        <v>43</v>
      </c>
      <c r="U7" t="s">
        <v>458</v>
      </c>
      <c r="W7" t="s">
        <v>10</v>
      </c>
      <c r="X7" t="s">
        <v>26</v>
      </c>
      <c r="Y7" t="s">
        <v>471</v>
      </c>
      <c r="AA7" t="s">
        <v>21</v>
      </c>
      <c r="AB7" t="s">
        <v>22</v>
      </c>
    </row>
    <row r="8" spans="1:28" x14ac:dyDescent="0.25">
      <c r="A8" t="s">
        <v>11</v>
      </c>
      <c r="B8" t="s">
        <v>38</v>
      </c>
      <c r="E8" t="s">
        <v>9</v>
      </c>
      <c r="F8" t="s">
        <v>27</v>
      </c>
      <c r="G8" t="s">
        <v>258</v>
      </c>
      <c r="H8" t="s">
        <v>109</v>
      </c>
      <c r="J8" t="s">
        <v>10</v>
      </c>
      <c r="K8" t="s">
        <v>30</v>
      </c>
      <c r="L8" t="s">
        <v>425</v>
      </c>
      <c r="M8" t="s">
        <v>249</v>
      </c>
      <c r="N8" t="s">
        <v>44</v>
      </c>
      <c r="P8" t="s">
        <v>11</v>
      </c>
      <c r="Q8" t="s">
        <v>36</v>
      </c>
      <c r="R8" t="s">
        <v>468</v>
      </c>
      <c r="S8" t="s">
        <v>254</v>
      </c>
      <c r="T8" t="s">
        <v>44</v>
      </c>
      <c r="U8" t="s">
        <v>458</v>
      </c>
      <c r="W8" t="s">
        <v>10</v>
      </c>
      <c r="X8" t="s">
        <v>28</v>
      </c>
      <c r="Y8" t="s">
        <v>427</v>
      </c>
      <c r="AA8" t="s">
        <v>10</v>
      </c>
      <c r="AB8" t="s">
        <v>34</v>
      </c>
    </row>
    <row r="9" spans="1:28" x14ac:dyDescent="0.25">
      <c r="E9" t="s">
        <v>10</v>
      </c>
      <c r="F9" t="s">
        <v>24</v>
      </c>
      <c r="G9" t="s">
        <v>14</v>
      </c>
      <c r="H9" t="s">
        <v>104</v>
      </c>
      <c r="J9" t="s">
        <v>13</v>
      </c>
      <c r="K9" t="s">
        <v>39</v>
      </c>
      <c r="L9" t="s">
        <v>425</v>
      </c>
      <c r="M9" t="s">
        <v>249</v>
      </c>
      <c r="N9" t="s">
        <v>90</v>
      </c>
      <c r="P9" t="s">
        <v>10</v>
      </c>
      <c r="Q9" t="s">
        <v>39</v>
      </c>
      <c r="R9" t="s">
        <v>470</v>
      </c>
      <c r="S9" t="s">
        <v>5</v>
      </c>
      <c r="T9" t="s">
        <v>44</v>
      </c>
      <c r="U9" t="s">
        <v>458</v>
      </c>
      <c r="W9" t="s">
        <v>9</v>
      </c>
      <c r="X9" t="s">
        <v>23</v>
      </c>
      <c r="Y9" t="s">
        <v>499</v>
      </c>
      <c r="AA9" t="s">
        <v>9</v>
      </c>
      <c r="AB9" t="s">
        <v>34</v>
      </c>
    </row>
    <row r="10" spans="1:28" x14ac:dyDescent="0.25">
      <c r="E10" t="s">
        <v>10</v>
      </c>
      <c r="F10" t="s">
        <v>23</v>
      </c>
      <c r="G10" t="s">
        <v>14</v>
      </c>
      <c r="H10" t="s">
        <v>107</v>
      </c>
      <c r="J10" t="s">
        <v>13</v>
      </c>
      <c r="K10" t="s">
        <v>38</v>
      </c>
      <c r="L10" t="s">
        <v>425</v>
      </c>
      <c r="M10" t="s">
        <v>249</v>
      </c>
      <c r="N10" t="s">
        <v>48</v>
      </c>
      <c r="P10" t="s">
        <v>11</v>
      </c>
      <c r="Q10" t="s">
        <v>30</v>
      </c>
      <c r="R10" t="s">
        <v>424</v>
      </c>
      <c r="S10" t="s">
        <v>252</v>
      </c>
      <c r="T10" t="s">
        <v>44</v>
      </c>
      <c r="U10" t="s">
        <v>459</v>
      </c>
      <c r="W10" t="s">
        <v>11</v>
      </c>
      <c r="X10" t="s">
        <v>34</v>
      </c>
      <c r="Y10" t="s">
        <v>500</v>
      </c>
      <c r="AA10" t="s">
        <v>9</v>
      </c>
      <c r="AB10" t="s">
        <v>36</v>
      </c>
    </row>
    <row r="11" spans="1:28" x14ac:dyDescent="0.25">
      <c r="E11" t="s">
        <v>9</v>
      </c>
      <c r="F11" t="s">
        <v>29</v>
      </c>
      <c r="G11" t="s">
        <v>258</v>
      </c>
      <c r="H11" t="s">
        <v>95</v>
      </c>
      <c r="P11" t="s">
        <v>10</v>
      </c>
      <c r="Q11" t="s">
        <v>25</v>
      </c>
      <c r="R11" t="s">
        <v>467</v>
      </c>
      <c r="S11" t="s">
        <v>253</v>
      </c>
      <c r="T11" t="s">
        <v>43</v>
      </c>
      <c r="U11" t="s">
        <v>459</v>
      </c>
      <c r="W11" t="s">
        <v>11</v>
      </c>
      <c r="X11" t="s">
        <v>33</v>
      </c>
      <c r="Y11" t="s">
        <v>500</v>
      </c>
      <c r="AA11" t="s">
        <v>11</v>
      </c>
      <c r="AB11" t="s">
        <v>26</v>
      </c>
    </row>
    <row r="12" spans="1:28" x14ac:dyDescent="0.25">
      <c r="P12" t="s">
        <v>9</v>
      </c>
      <c r="Q12" t="s">
        <v>32</v>
      </c>
      <c r="R12" t="s">
        <v>498</v>
      </c>
      <c r="S12" t="s">
        <v>4</v>
      </c>
      <c r="T12" t="s">
        <v>44</v>
      </c>
      <c r="U12" t="s">
        <v>459</v>
      </c>
      <c r="W12" t="s">
        <v>9</v>
      </c>
      <c r="X12" t="s">
        <v>30</v>
      </c>
      <c r="Y12" t="s">
        <v>427</v>
      </c>
      <c r="AA12" t="s">
        <v>13</v>
      </c>
      <c r="AB12" t="s">
        <v>23</v>
      </c>
    </row>
    <row r="13" spans="1:28" x14ac:dyDescent="0.25">
      <c r="P13" t="s">
        <v>11</v>
      </c>
      <c r="Q13" t="s">
        <v>25</v>
      </c>
      <c r="R13" t="s">
        <v>423</v>
      </c>
      <c r="S13" t="s">
        <v>4</v>
      </c>
      <c r="T13" t="s">
        <v>90</v>
      </c>
      <c r="U13" t="s">
        <v>459</v>
      </c>
      <c r="W13" t="s">
        <v>9</v>
      </c>
      <c r="X13" t="s">
        <v>28</v>
      </c>
      <c r="Y13" t="s">
        <v>427</v>
      </c>
      <c r="AA13" t="s">
        <v>13</v>
      </c>
      <c r="AB13" t="s">
        <v>24</v>
      </c>
    </row>
    <row r="14" spans="1:28" x14ac:dyDescent="0.25">
      <c r="P14" s="13" t="s">
        <v>9</v>
      </c>
      <c r="Q14" s="7" t="s">
        <v>31</v>
      </c>
      <c r="R14" s="7" t="s">
        <v>460</v>
      </c>
      <c r="S14" s="7" t="s">
        <v>457</v>
      </c>
      <c r="T14" s="7" t="s">
        <v>43</v>
      </c>
      <c r="U14" s="12" t="s">
        <v>456</v>
      </c>
      <c r="W14" t="s">
        <v>11</v>
      </c>
      <c r="X14" t="s">
        <v>39</v>
      </c>
      <c r="Y14" t="s">
        <v>500</v>
      </c>
      <c r="AA14" t="s">
        <v>10</v>
      </c>
      <c r="AB14" t="s">
        <v>37</v>
      </c>
    </row>
    <row r="15" spans="1:28" x14ac:dyDescent="0.25">
      <c r="P15" s="15" t="s">
        <v>9</v>
      </c>
      <c r="Q15" s="8" t="s">
        <v>33</v>
      </c>
      <c r="R15" s="8" t="s">
        <v>460</v>
      </c>
      <c r="S15" s="8" t="s">
        <v>461</v>
      </c>
      <c r="T15" s="8" t="s">
        <v>43</v>
      </c>
      <c r="U15" s="14" t="s">
        <v>456</v>
      </c>
      <c r="AA15" t="s">
        <v>13</v>
      </c>
      <c r="AB15" t="s">
        <v>37</v>
      </c>
    </row>
    <row r="16" spans="1:28" x14ac:dyDescent="0.25">
      <c r="P16" s="13" t="s">
        <v>10</v>
      </c>
      <c r="Q16" s="7" t="s">
        <v>36</v>
      </c>
      <c r="R16" s="7" t="s">
        <v>460</v>
      </c>
      <c r="S16" s="7" t="s">
        <v>462</v>
      </c>
      <c r="T16" s="7" t="s">
        <v>43</v>
      </c>
      <c r="U16" s="12" t="s">
        <v>456</v>
      </c>
    </row>
    <row r="17" spans="16:53" x14ac:dyDescent="0.25">
      <c r="P17" s="15" t="s">
        <v>10</v>
      </c>
      <c r="Q17" s="8" t="s">
        <v>38</v>
      </c>
      <c r="R17" s="8" t="s">
        <v>460</v>
      </c>
      <c r="S17" s="8" t="s">
        <v>463</v>
      </c>
      <c r="T17" s="8" t="s">
        <v>43</v>
      </c>
      <c r="U17" s="14" t="s">
        <v>456</v>
      </c>
    </row>
    <row r="18" spans="16:53" x14ac:dyDescent="0.25">
      <c r="P18" s="13" t="s">
        <v>11</v>
      </c>
      <c r="Q18" s="7" t="s">
        <v>29</v>
      </c>
      <c r="R18" s="7" t="s">
        <v>460</v>
      </c>
      <c r="S18" s="7" t="s">
        <v>465</v>
      </c>
      <c r="T18" s="7" t="s">
        <v>43</v>
      </c>
      <c r="U18" s="12" t="s">
        <v>456</v>
      </c>
    </row>
    <row r="19" spans="16:53" x14ac:dyDescent="0.25">
      <c r="P19" s="15" t="s">
        <v>11</v>
      </c>
      <c r="Q19" s="8" t="s">
        <v>31</v>
      </c>
      <c r="R19" s="8" t="s">
        <v>466</v>
      </c>
      <c r="S19" s="8" t="s">
        <v>464</v>
      </c>
      <c r="T19" s="8" t="s">
        <v>43</v>
      </c>
      <c r="U19" s="14" t="s">
        <v>456</v>
      </c>
    </row>
    <row r="20" spans="16:53" x14ac:dyDescent="0.25">
      <c r="P20" t="s">
        <v>11</v>
      </c>
      <c r="Q20" t="s">
        <v>32</v>
      </c>
      <c r="R20" s="8" t="s">
        <v>466</v>
      </c>
      <c r="S20" t="s">
        <v>464</v>
      </c>
      <c r="T20" t="s">
        <v>44</v>
      </c>
      <c r="U20" t="s">
        <v>456</v>
      </c>
    </row>
    <row r="27" spans="16:53" x14ac:dyDescent="0.25">
      <c r="W27" t="s">
        <v>354</v>
      </c>
    </row>
    <row r="28" spans="16:53" x14ac:dyDescent="0.25">
      <c r="W28" t="s">
        <v>347</v>
      </c>
    </row>
    <row r="29" spans="16:53" x14ac:dyDescent="0.25">
      <c r="W29" t="s">
        <v>355</v>
      </c>
      <c r="AW29" t="s">
        <v>89</v>
      </c>
      <c r="BA29" t="s">
        <v>47</v>
      </c>
    </row>
    <row r="30" spans="16:53" x14ac:dyDescent="0.25">
      <c r="W30" t="s">
        <v>356</v>
      </c>
      <c r="AW30" t="s">
        <v>23</v>
      </c>
      <c r="AY30" t="s">
        <v>91</v>
      </c>
      <c r="BA30" t="s">
        <v>92</v>
      </c>
    </row>
    <row r="31" spans="16:53" x14ac:dyDescent="0.25">
      <c r="W31" t="s">
        <v>357</v>
      </c>
      <c r="AW31" t="s">
        <v>24</v>
      </c>
      <c r="AY31" t="s">
        <v>43</v>
      </c>
      <c r="BA31" t="s">
        <v>93</v>
      </c>
    </row>
    <row r="32" spans="16:53" x14ac:dyDescent="0.25">
      <c r="W32" t="s">
        <v>358</v>
      </c>
      <c r="AW32" t="s">
        <v>25</v>
      </c>
      <c r="AY32" t="s">
        <v>44</v>
      </c>
      <c r="BA32" t="s">
        <v>94</v>
      </c>
    </row>
    <row r="33" spans="2:53" x14ac:dyDescent="0.25">
      <c r="W33" t="s">
        <v>359</v>
      </c>
      <c r="AW33" t="s">
        <v>26</v>
      </c>
      <c r="AY33" t="s">
        <v>90</v>
      </c>
      <c r="BA33" t="s">
        <v>95</v>
      </c>
    </row>
    <row r="34" spans="2:53" x14ac:dyDescent="0.25">
      <c r="B34" t="s">
        <v>403</v>
      </c>
      <c r="W34" t="s">
        <v>360</v>
      </c>
      <c r="AW34" t="s">
        <v>27</v>
      </c>
      <c r="AY34" t="s">
        <v>48</v>
      </c>
      <c r="BA34" t="s">
        <v>96</v>
      </c>
    </row>
    <row r="35" spans="2:53" x14ac:dyDescent="0.25">
      <c r="B35" t="s">
        <v>281</v>
      </c>
      <c r="C35" t="s">
        <v>282</v>
      </c>
      <c r="D35" t="s">
        <v>283</v>
      </c>
      <c r="E35" t="s">
        <v>284</v>
      </c>
      <c r="F35" t="s">
        <v>40</v>
      </c>
      <c r="G35" t="s">
        <v>288</v>
      </c>
      <c r="W35" t="s">
        <v>361</v>
      </c>
      <c r="AW35" t="s">
        <v>28</v>
      </c>
      <c r="BA35" t="s">
        <v>97</v>
      </c>
    </row>
    <row r="36" spans="2:53" x14ac:dyDescent="0.25">
      <c r="B36" t="s">
        <v>13</v>
      </c>
      <c r="C36" t="s">
        <v>34</v>
      </c>
      <c r="D36" t="s">
        <v>13</v>
      </c>
      <c r="E36" t="s">
        <v>36</v>
      </c>
      <c r="F36" t="s">
        <v>280</v>
      </c>
      <c r="G36" t="s">
        <v>285</v>
      </c>
      <c r="AW36" t="s">
        <v>29</v>
      </c>
      <c r="BA36" t="s">
        <v>98</v>
      </c>
    </row>
    <row r="37" spans="2:53" x14ac:dyDescent="0.25">
      <c r="B37" t="s">
        <v>256</v>
      </c>
      <c r="C37" t="s">
        <v>38</v>
      </c>
      <c r="D37" t="s">
        <v>256</v>
      </c>
      <c r="E37" t="s">
        <v>39</v>
      </c>
      <c r="F37" t="s">
        <v>486</v>
      </c>
      <c r="G37" t="s">
        <v>287</v>
      </c>
      <c r="AW37" t="s">
        <v>30</v>
      </c>
      <c r="BA37" t="s">
        <v>99</v>
      </c>
    </row>
    <row r="38" spans="2:53" x14ac:dyDescent="0.25">
      <c r="B38" t="s">
        <v>256</v>
      </c>
      <c r="C38" t="s">
        <v>37</v>
      </c>
      <c r="D38" t="s">
        <v>256</v>
      </c>
      <c r="E38" t="s">
        <v>36</v>
      </c>
      <c r="F38" t="s">
        <v>490</v>
      </c>
      <c r="G38" t="s">
        <v>286</v>
      </c>
      <c r="AW38" t="s">
        <v>31</v>
      </c>
      <c r="BA38" t="s">
        <v>100</v>
      </c>
    </row>
    <row r="39" spans="2:53" x14ac:dyDescent="0.25">
      <c r="AW39" t="s">
        <v>32</v>
      </c>
      <c r="BA39" t="s">
        <v>101</v>
      </c>
    </row>
    <row r="40" spans="2:53" x14ac:dyDescent="0.25">
      <c r="AW40" t="s">
        <v>33</v>
      </c>
      <c r="BA40" t="s">
        <v>102</v>
      </c>
    </row>
    <row r="41" spans="2:53" x14ac:dyDescent="0.25">
      <c r="AW41" t="s">
        <v>34</v>
      </c>
      <c r="BA41" t="s">
        <v>103</v>
      </c>
    </row>
    <row r="42" spans="2:53" x14ac:dyDescent="0.25">
      <c r="AW42" t="s">
        <v>36</v>
      </c>
      <c r="BA42" t="s">
        <v>104</v>
      </c>
    </row>
    <row r="43" spans="2:53" x14ac:dyDescent="0.25">
      <c r="AW43" t="s">
        <v>37</v>
      </c>
      <c r="BA43" t="s">
        <v>105</v>
      </c>
    </row>
    <row r="44" spans="2:53" x14ac:dyDescent="0.25">
      <c r="B44" s="9" t="s">
        <v>491</v>
      </c>
      <c r="C44" s="9" t="s">
        <v>492</v>
      </c>
      <c r="D44" s="9" t="s">
        <v>493</v>
      </c>
      <c r="E44" s="9" t="s">
        <v>494</v>
      </c>
      <c r="F44" s="9" t="s">
        <v>495</v>
      </c>
      <c r="G44" s="9" t="s">
        <v>496</v>
      </c>
      <c r="H44" s="9" t="s">
        <v>497</v>
      </c>
      <c r="AW44" t="s">
        <v>38</v>
      </c>
      <c r="BA44" t="s">
        <v>106</v>
      </c>
    </row>
    <row r="45" spans="2:53" x14ac:dyDescent="0.25">
      <c r="B45" s="16"/>
      <c r="C45" s="16"/>
      <c r="D45" s="16"/>
      <c r="E45" s="16"/>
      <c r="F45" s="16"/>
      <c r="G45" s="16"/>
      <c r="H45" s="16"/>
      <c r="AW45" t="s">
        <v>39</v>
      </c>
      <c r="BA45" t="s">
        <v>107</v>
      </c>
    </row>
    <row r="46" spans="2:53" x14ac:dyDescent="0.25">
      <c r="BA46" t="s">
        <v>108</v>
      </c>
    </row>
    <row r="47" spans="2:53" x14ac:dyDescent="0.25">
      <c r="BA47" t="s">
        <v>109</v>
      </c>
    </row>
    <row r="48" spans="2:53" x14ac:dyDescent="0.25">
      <c r="BA48" t="s">
        <v>472</v>
      </c>
    </row>
    <row r="57" spans="36:36" x14ac:dyDescent="0.25">
      <c r="AJ57" t="s">
        <v>110</v>
      </c>
    </row>
  </sheetData>
  <phoneticPr fontId="1" type="noConversion"/>
  <dataValidations count="5">
    <dataValidation type="list" allowBlank="1" showInputMessage="1" showErrorMessage="1" sqref="AW46 Q14:Q19 Q7 AB8:AB12 F7:F11 X7:X14 AB14 B7:B8 K7:K10" xr:uid="{14BC2D73-1395-4E2C-9D1E-55C781825C64}">
      <formula1>$AW$30:$AW$45</formula1>
    </dataValidation>
    <dataValidation type="list" allowBlank="1" showInputMessage="1" showErrorMessage="1" sqref="T14:T19 T7 N7:N10" xr:uid="{727A5344-B28A-4866-9EC1-7C96029AF8B6}">
      <formula1>$AY$31:$AY$34</formula1>
    </dataValidation>
    <dataValidation type="list" allowBlank="1" showInputMessage="1" showErrorMessage="1" sqref="U21:U22" xr:uid="{843CAB93-5FB8-4584-AA77-D87D9BF50E6D}">
      <formula1>"HrTim,Tim"</formula1>
    </dataValidation>
    <dataValidation type="list" allowBlank="1" showInputMessage="1" showErrorMessage="1" sqref="U7 U11:U19" xr:uid="{2E700A6E-F322-4D4F-87DE-D704594A5EA0}">
      <formula1>"HrTim,BscTim,AdvTim"</formula1>
    </dataValidation>
    <dataValidation type="list" allowBlank="1" showInputMessage="1" showErrorMessage="1" sqref="H7:H11" xr:uid="{FFFA1AF2-B35F-4BAA-AEF6-4A6121806F8D}">
      <formula1>$BA$30:$BA$48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P14:P19 P7 AA8:AA12 E7:E11 W7:W14 AA14 A7:A8 J7:J10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94" zoomScaleNormal="115" workbookViewId="0">
      <selection activeCell="B20" sqref="B20:H21"/>
    </sheetView>
  </sheetViews>
  <sheetFormatPr defaultColWidth="11.42578125" defaultRowHeight="15" x14ac:dyDescent="0.25"/>
  <cols>
    <col min="2" max="2" width="19.42578125" customWidth="1"/>
    <col min="3" max="3" width="22.28515625" customWidth="1"/>
    <col min="6" max="6" width="31.28515625" customWidth="1"/>
    <col min="7" max="7" width="26.7109375" customWidth="1"/>
  </cols>
  <sheetData>
    <row r="3" spans="2:7" x14ac:dyDescent="0.25">
      <c r="B3" t="s">
        <v>49</v>
      </c>
      <c r="F3" t="s">
        <v>354</v>
      </c>
    </row>
    <row r="4" spans="2:7" x14ac:dyDescent="0.25">
      <c r="B4" t="s">
        <v>0</v>
      </c>
      <c r="C4" t="s">
        <v>1</v>
      </c>
      <c r="F4" t="s">
        <v>347</v>
      </c>
      <c r="G4" t="s">
        <v>388</v>
      </c>
    </row>
    <row r="5" spans="2:7" x14ac:dyDescent="0.25">
      <c r="B5" t="s">
        <v>250</v>
      </c>
      <c r="C5" t="s">
        <v>43</v>
      </c>
      <c r="F5" t="s">
        <v>341</v>
      </c>
      <c r="G5" t="s">
        <v>71</v>
      </c>
    </row>
    <row r="6" spans="2:7" x14ac:dyDescent="0.25">
      <c r="B6" t="s">
        <v>251</v>
      </c>
      <c r="C6" t="s">
        <v>43</v>
      </c>
      <c r="F6" t="s">
        <v>352</v>
      </c>
      <c r="G6" t="s">
        <v>72</v>
      </c>
    </row>
    <row r="7" spans="2:7" x14ac:dyDescent="0.25">
      <c r="F7" t="s">
        <v>343</v>
      </c>
      <c r="G7" t="s">
        <v>73</v>
      </c>
    </row>
    <row r="8" spans="2:7" x14ac:dyDescent="0.25">
      <c r="F8" t="s">
        <v>342</v>
      </c>
      <c r="G8" t="s">
        <v>69</v>
      </c>
    </row>
    <row r="9" spans="2:7" x14ac:dyDescent="0.25">
      <c r="F9" t="s">
        <v>344</v>
      </c>
      <c r="G9" t="s">
        <v>225</v>
      </c>
    </row>
    <row r="10" spans="2:7" x14ac:dyDescent="0.25">
      <c r="F10" t="s">
        <v>345</v>
      </c>
      <c r="G10" t="s">
        <v>70</v>
      </c>
    </row>
    <row r="11" spans="2:7" x14ac:dyDescent="0.25">
      <c r="F11" t="s">
        <v>346</v>
      </c>
      <c r="G11" t="s">
        <v>224</v>
      </c>
    </row>
    <row r="12" spans="2:7" x14ac:dyDescent="0.25">
      <c r="F12" t="s">
        <v>348</v>
      </c>
      <c r="G12" t="s">
        <v>223</v>
      </c>
    </row>
    <row r="13" spans="2:7" x14ac:dyDescent="0.25">
      <c r="F13" t="s">
        <v>349</v>
      </c>
      <c r="G13" t="s">
        <v>222</v>
      </c>
    </row>
    <row r="14" spans="2:7" x14ac:dyDescent="0.25">
      <c r="F14" t="s">
        <v>426</v>
      </c>
      <c r="G14" t="s">
        <v>221</v>
      </c>
    </row>
    <row r="15" spans="2:7" x14ac:dyDescent="0.25">
      <c r="F15" t="s">
        <v>350</v>
      </c>
      <c r="G15" t="s">
        <v>220</v>
      </c>
    </row>
    <row r="16" spans="2:7" x14ac:dyDescent="0.25">
      <c r="F16" t="s">
        <v>351</v>
      </c>
      <c r="G16" t="s">
        <v>220</v>
      </c>
    </row>
    <row r="17" spans="6:7" x14ac:dyDescent="0.25">
      <c r="F17" t="s">
        <v>353</v>
      </c>
      <c r="G17" t="s">
        <v>220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X18" sqref="X18"/>
    </sheetView>
  </sheetViews>
  <sheetFormatPr defaultColWidth="11.42578125" defaultRowHeight="15" x14ac:dyDescent="0.25"/>
  <cols>
    <col min="25" max="25" width="27.28515625" customWidth="1"/>
  </cols>
  <sheetData>
    <row r="5" spans="25:25" x14ac:dyDescent="0.25">
      <c r="Y5" t="s">
        <v>0</v>
      </c>
    </row>
    <row r="6" spans="25:25" x14ac:dyDescent="0.25">
      <c r="Y6" t="s">
        <v>447</v>
      </c>
    </row>
    <row r="7" spans="25:25" x14ac:dyDescent="0.25">
      <c r="Y7" t="s">
        <v>446</v>
      </c>
    </row>
    <row r="8" spans="25:25" x14ac:dyDescent="0.25">
      <c r="Y8" t="s">
        <v>448</v>
      </c>
    </row>
    <row r="9" spans="25:25" x14ac:dyDescent="0.25">
      <c r="Y9" t="s">
        <v>445</v>
      </c>
    </row>
    <row r="10" spans="25:25" x14ac:dyDescent="0.25">
      <c r="Y10" t="s">
        <v>449</v>
      </c>
    </row>
    <row r="11" spans="25:25" x14ac:dyDescent="0.25">
      <c r="Y11" t="s">
        <v>450</v>
      </c>
    </row>
    <row r="12" spans="25:25" x14ac:dyDescent="0.25">
      <c r="Y12" t="s">
        <v>451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2"/>
  <sheetViews>
    <sheetView topLeftCell="Q1" zoomScale="82" zoomScaleNormal="145" workbookViewId="0">
      <selection activeCell="M6" sqref="M6"/>
    </sheetView>
  </sheetViews>
  <sheetFormatPr defaultColWidth="11.42578125" defaultRowHeight="15" x14ac:dyDescent="0.25"/>
  <cols>
    <col min="5" max="5" width="23.42578125" customWidth="1"/>
    <col min="6" max="6" width="22.42578125" customWidth="1"/>
    <col min="9" max="9" width="43.85546875" customWidth="1"/>
    <col min="10" max="10" width="21.7109375" customWidth="1"/>
    <col min="11" max="11" width="11.5703125" customWidth="1"/>
    <col min="12" max="12" width="24.140625" customWidth="1"/>
    <col min="17" max="17" width="45" customWidth="1"/>
    <col min="18" max="18" width="28.85546875" customWidth="1"/>
    <col min="19" max="19" width="21.85546875" customWidth="1"/>
    <col min="20" max="20" width="19.28515625" customWidth="1"/>
    <col min="22" max="22" width="18.5703125" customWidth="1"/>
  </cols>
  <sheetData>
    <row r="2" spans="5:17" ht="25.9" customHeight="1" x14ac:dyDescent="0.25">
      <c r="I2" s="3" t="s">
        <v>115</v>
      </c>
      <c r="Q2" s="2" t="s">
        <v>113</v>
      </c>
    </row>
    <row r="3" spans="5:17" x14ac:dyDescent="0.25">
      <c r="I3" t="s">
        <v>112</v>
      </c>
      <c r="J3" t="s">
        <v>118</v>
      </c>
      <c r="K3" t="s">
        <v>116</v>
      </c>
      <c r="L3" t="s">
        <v>117</v>
      </c>
      <c r="M3" t="s">
        <v>476</v>
      </c>
    </row>
    <row r="4" spans="5:17" x14ac:dyDescent="0.25">
      <c r="I4" t="s">
        <v>474</v>
      </c>
      <c r="J4" t="s">
        <v>475</v>
      </c>
      <c r="K4" t="s">
        <v>14</v>
      </c>
      <c r="L4" t="s">
        <v>109</v>
      </c>
      <c r="M4" t="s">
        <v>477</v>
      </c>
    </row>
    <row r="5" spans="5:17" x14ac:dyDescent="0.25">
      <c r="I5" t="s">
        <v>111</v>
      </c>
      <c r="J5" t="s">
        <v>263</v>
      </c>
      <c r="K5" t="s">
        <v>14</v>
      </c>
      <c r="L5" t="s">
        <v>108</v>
      </c>
      <c r="M5" t="s">
        <v>477</v>
      </c>
    </row>
    <row r="6" spans="5:17" x14ac:dyDescent="0.25">
      <c r="I6" t="s">
        <v>262</v>
      </c>
      <c r="J6" t="s">
        <v>264</v>
      </c>
      <c r="K6" t="s">
        <v>261</v>
      </c>
      <c r="L6" t="s">
        <v>96</v>
      </c>
      <c r="M6" t="s">
        <v>478</v>
      </c>
    </row>
    <row r="7" spans="5:17" x14ac:dyDescent="0.25">
      <c r="E7" t="s">
        <v>354</v>
      </c>
    </row>
    <row r="8" spans="5:17" x14ac:dyDescent="0.25">
      <c r="E8" t="s">
        <v>347</v>
      </c>
      <c r="F8" t="s">
        <v>389</v>
      </c>
    </row>
    <row r="9" spans="5:17" x14ac:dyDescent="0.25">
      <c r="E9" t="s">
        <v>362</v>
      </c>
      <c r="F9" t="s">
        <v>390</v>
      </c>
    </row>
    <row r="10" spans="5:17" x14ac:dyDescent="0.25">
      <c r="E10" t="s">
        <v>363</v>
      </c>
      <c r="F10" t="s">
        <v>391</v>
      </c>
    </row>
    <row r="11" spans="5:17" x14ac:dyDescent="0.25">
      <c r="E11" t="s">
        <v>364</v>
      </c>
      <c r="F11" t="s">
        <v>392</v>
      </c>
    </row>
    <row r="12" spans="5:17" x14ac:dyDescent="0.25">
      <c r="E12" t="s">
        <v>365</v>
      </c>
      <c r="F12" t="s">
        <v>393</v>
      </c>
    </row>
    <row r="17" spans="20:23" x14ac:dyDescent="0.25">
      <c r="T17" t="s">
        <v>114</v>
      </c>
      <c r="U17" t="s">
        <v>119</v>
      </c>
      <c r="V17" t="s">
        <v>116</v>
      </c>
      <c r="W17" t="s">
        <v>117</v>
      </c>
    </row>
    <row r="18" spans="20:23" x14ac:dyDescent="0.25">
      <c r="T18" t="s">
        <v>413</v>
      </c>
      <c r="U18" t="s">
        <v>265</v>
      </c>
      <c r="V18" t="s">
        <v>14</v>
      </c>
      <c r="W18" t="s">
        <v>472</v>
      </c>
    </row>
    <row r="19" spans="20:23" x14ac:dyDescent="0.25">
      <c r="T19" t="s">
        <v>414</v>
      </c>
      <c r="U19" t="s">
        <v>265</v>
      </c>
      <c r="V19" t="s">
        <v>14</v>
      </c>
      <c r="W19" t="s">
        <v>472</v>
      </c>
    </row>
    <row r="20" spans="20:23" x14ac:dyDescent="0.25">
      <c r="T20" t="s">
        <v>415</v>
      </c>
      <c r="U20" t="s">
        <v>265</v>
      </c>
      <c r="V20" t="s">
        <v>259</v>
      </c>
      <c r="W20" t="s">
        <v>472</v>
      </c>
    </row>
    <row r="21" spans="20:23" x14ac:dyDescent="0.25">
      <c r="T21" t="s">
        <v>416</v>
      </c>
      <c r="U21" t="s">
        <v>265</v>
      </c>
      <c r="V21" t="s">
        <v>260</v>
      </c>
      <c r="W21" t="s">
        <v>472</v>
      </c>
    </row>
    <row r="22" spans="20:23" x14ac:dyDescent="0.25">
      <c r="T22" t="s">
        <v>417</v>
      </c>
      <c r="U22" t="s">
        <v>265</v>
      </c>
      <c r="V22" t="s">
        <v>261</v>
      </c>
      <c r="W22" t="s">
        <v>472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General_Info!$V$41:$V$45</xm:f>
          </x14:formula1>
          <xm:sqref>K4:K6 V18:V22</xm:sqref>
        </x14:dataValidation>
        <x14:dataValidation type="list" allowBlank="1" showInputMessage="1" showErrorMessage="1" xr:uid="{7AB0981D-B484-49AA-81E2-46EA728857EF}">
          <x14:formula1>
            <xm:f>FMK_IO!$BA$30:$BA$47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18"/>
  <sheetViews>
    <sheetView zoomScale="113" zoomScaleNormal="115" workbookViewId="0">
      <selection activeCell="K15" sqref="K15"/>
    </sheetView>
  </sheetViews>
  <sheetFormatPr defaultColWidth="11.42578125" defaultRowHeight="15" x14ac:dyDescent="0.25"/>
  <cols>
    <col min="2" max="2" width="19.28515625" customWidth="1"/>
    <col min="3" max="3" width="17.7109375" customWidth="1"/>
    <col min="4" max="4" width="17.42578125" customWidth="1"/>
    <col min="10" max="10" width="36.7109375" customWidth="1"/>
    <col min="11" max="11" width="21.7109375" customWidth="1"/>
    <col min="16" max="16" width="25.28515625" customWidth="1"/>
  </cols>
  <sheetData>
    <row r="1" spans="2:16" x14ac:dyDescent="0.25">
      <c r="B1" t="s">
        <v>489</v>
      </c>
    </row>
    <row r="2" spans="2:16" x14ac:dyDescent="0.25">
      <c r="B2" t="s">
        <v>329</v>
      </c>
      <c r="C2" t="s">
        <v>330</v>
      </c>
      <c r="D2" t="s">
        <v>331</v>
      </c>
      <c r="E2" t="s">
        <v>332</v>
      </c>
      <c r="J2" t="s">
        <v>354</v>
      </c>
    </row>
    <row r="3" spans="2:16" x14ac:dyDescent="0.25">
      <c r="B3" t="s">
        <v>326</v>
      </c>
      <c r="C3" t="s">
        <v>327</v>
      </c>
      <c r="D3" t="s">
        <v>333</v>
      </c>
      <c r="E3" t="s">
        <v>67</v>
      </c>
      <c r="J3" t="s">
        <v>347</v>
      </c>
      <c r="K3" t="s">
        <v>399</v>
      </c>
      <c r="P3" t="s">
        <v>402</v>
      </c>
    </row>
    <row r="4" spans="2:16" x14ac:dyDescent="0.25">
      <c r="B4" t="s">
        <v>401</v>
      </c>
      <c r="C4" t="s">
        <v>327</v>
      </c>
      <c r="D4" t="s">
        <v>48</v>
      </c>
      <c r="E4" t="s">
        <v>67</v>
      </c>
      <c r="J4" t="s">
        <v>366</v>
      </c>
      <c r="K4" t="s">
        <v>326</v>
      </c>
      <c r="L4" t="s">
        <v>400</v>
      </c>
      <c r="P4" t="s">
        <v>231</v>
      </c>
    </row>
    <row r="5" spans="2:16" x14ac:dyDescent="0.25">
      <c r="B5" t="s">
        <v>391</v>
      </c>
      <c r="C5" t="s">
        <v>327</v>
      </c>
      <c r="D5" t="s">
        <v>90</v>
      </c>
      <c r="E5" t="s">
        <v>67</v>
      </c>
      <c r="J5" t="s">
        <v>367</v>
      </c>
      <c r="K5" t="s">
        <v>401</v>
      </c>
    </row>
    <row r="6" spans="2:16" x14ac:dyDescent="0.25">
      <c r="B6" t="s">
        <v>392</v>
      </c>
      <c r="C6" t="s">
        <v>328</v>
      </c>
      <c r="D6" t="s">
        <v>48</v>
      </c>
      <c r="E6" t="s">
        <v>67</v>
      </c>
      <c r="J6" t="s">
        <v>368</v>
      </c>
      <c r="K6" t="s">
        <v>391</v>
      </c>
    </row>
    <row r="7" spans="2:16" x14ac:dyDescent="0.25">
      <c r="B7" t="s">
        <v>393</v>
      </c>
      <c r="C7" t="s">
        <v>328</v>
      </c>
      <c r="D7" t="s">
        <v>333</v>
      </c>
      <c r="E7" t="s">
        <v>67</v>
      </c>
      <c r="J7" t="s">
        <v>369</v>
      </c>
      <c r="K7" t="s">
        <v>334</v>
      </c>
    </row>
    <row r="8" spans="2:16" x14ac:dyDescent="0.25">
      <c r="B8" t="s">
        <v>334</v>
      </c>
      <c r="C8" t="s">
        <v>328</v>
      </c>
      <c r="D8" t="s">
        <v>43</v>
      </c>
      <c r="E8" t="s">
        <v>67</v>
      </c>
      <c r="J8" t="s">
        <v>370</v>
      </c>
      <c r="K8" t="s">
        <v>335</v>
      </c>
    </row>
    <row r="9" spans="2:16" x14ac:dyDescent="0.25">
      <c r="B9" t="s">
        <v>335</v>
      </c>
      <c r="C9" t="s">
        <v>328</v>
      </c>
      <c r="D9" t="s">
        <v>44</v>
      </c>
      <c r="E9" t="s">
        <v>67</v>
      </c>
      <c r="J9" t="s">
        <v>371</v>
      </c>
      <c r="K9" t="s">
        <v>336</v>
      </c>
    </row>
    <row r="10" spans="2:16" x14ac:dyDescent="0.25">
      <c r="B10" t="s">
        <v>336</v>
      </c>
      <c r="C10" t="s">
        <v>328</v>
      </c>
      <c r="D10" t="s">
        <v>337</v>
      </c>
      <c r="E10" t="s">
        <v>67</v>
      </c>
      <c r="J10" t="s">
        <v>372</v>
      </c>
      <c r="K10" t="s">
        <v>338</v>
      </c>
    </row>
    <row r="11" spans="2:16" x14ac:dyDescent="0.25">
      <c r="B11" t="s">
        <v>338</v>
      </c>
      <c r="C11" t="s">
        <v>328</v>
      </c>
      <c r="D11" t="s">
        <v>339</v>
      </c>
      <c r="E11" t="s">
        <v>67</v>
      </c>
      <c r="J11" t="s">
        <v>373</v>
      </c>
      <c r="K11" t="s">
        <v>397</v>
      </c>
    </row>
    <row r="12" spans="2:16" x14ac:dyDescent="0.25">
      <c r="B12" t="s">
        <v>397</v>
      </c>
      <c r="C12" t="s">
        <v>327</v>
      </c>
      <c r="D12" t="s">
        <v>44</v>
      </c>
      <c r="E12" t="s">
        <v>67</v>
      </c>
      <c r="J12" t="s">
        <v>374</v>
      </c>
      <c r="K12" t="s">
        <v>398</v>
      </c>
    </row>
    <row r="13" spans="2:16" x14ac:dyDescent="0.25">
      <c r="B13" t="s">
        <v>398</v>
      </c>
      <c r="C13" t="s">
        <v>327</v>
      </c>
      <c r="D13" t="s">
        <v>43</v>
      </c>
      <c r="E13" t="s">
        <v>67</v>
      </c>
      <c r="J13" t="s">
        <v>375</v>
      </c>
      <c r="K13" t="s">
        <v>422</v>
      </c>
    </row>
    <row r="14" spans="2:16" x14ac:dyDescent="0.25">
      <c r="B14" t="s">
        <v>487</v>
      </c>
      <c r="C14" t="s">
        <v>327</v>
      </c>
      <c r="D14" t="s">
        <v>337</v>
      </c>
      <c r="E14" t="s">
        <v>67</v>
      </c>
      <c r="J14" t="s">
        <v>376</v>
      </c>
      <c r="K14" t="s">
        <v>487</v>
      </c>
    </row>
    <row r="15" spans="2:16" x14ac:dyDescent="0.25">
      <c r="B15" t="s">
        <v>488</v>
      </c>
      <c r="C15" t="s">
        <v>327</v>
      </c>
      <c r="D15" t="s">
        <v>339</v>
      </c>
      <c r="E15" t="s">
        <v>67</v>
      </c>
      <c r="J15" t="s">
        <v>377</v>
      </c>
      <c r="K15" t="s">
        <v>488</v>
      </c>
    </row>
    <row r="16" spans="2:16" x14ac:dyDescent="0.25">
      <c r="B16" t="s">
        <v>422</v>
      </c>
      <c r="C16" t="s">
        <v>328</v>
      </c>
      <c r="D16" t="s">
        <v>90</v>
      </c>
      <c r="E16" s="4" t="s">
        <v>67</v>
      </c>
      <c r="J16" t="s">
        <v>378</v>
      </c>
    </row>
    <row r="17" spans="10:10" x14ac:dyDescent="0.25">
      <c r="J17" t="s">
        <v>379</v>
      </c>
    </row>
    <row r="18" spans="10:10" x14ac:dyDescent="0.25">
      <c r="J18" t="s">
        <v>380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11"/>
  <sheetViews>
    <sheetView workbookViewId="0">
      <selection activeCell="B28" sqref="B28"/>
    </sheetView>
  </sheetViews>
  <sheetFormatPr defaultColWidth="11.42578125" defaultRowHeight="15" x14ac:dyDescent="0.25"/>
  <cols>
    <col min="2" max="2" width="23.7109375" customWidth="1"/>
    <col min="6" max="6" width="25" customWidth="1"/>
  </cols>
  <sheetData>
    <row r="1" spans="1:7" x14ac:dyDescent="0.25">
      <c r="A1" t="s">
        <v>381</v>
      </c>
    </row>
    <row r="4" spans="1:7" x14ac:dyDescent="0.25">
      <c r="B4" t="s">
        <v>354</v>
      </c>
    </row>
    <row r="5" spans="1:7" x14ac:dyDescent="0.25">
      <c r="B5" t="s">
        <v>347</v>
      </c>
      <c r="D5" t="s">
        <v>479</v>
      </c>
      <c r="E5" t="s">
        <v>485</v>
      </c>
      <c r="F5" t="s">
        <v>481</v>
      </c>
      <c r="G5" t="s">
        <v>482</v>
      </c>
    </row>
    <row r="6" spans="1:7" x14ac:dyDescent="0.25">
      <c r="B6" t="s">
        <v>382</v>
      </c>
      <c r="D6" t="s">
        <v>480</v>
      </c>
      <c r="E6" t="s">
        <v>244</v>
      </c>
      <c r="F6">
        <v>40</v>
      </c>
      <c r="G6">
        <v>60</v>
      </c>
    </row>
    <row r="7" spans="1:7" x14ac:dyDescent="0.25">
      <c r="B7" t="s">
        <v>383</v>
      </c>
      <c r="D7" t="s">
        <v>483</v>
      </c>
      <c r="E7" t="s">
        <v>244</v>
      </c>
      <c r="F7">
        <v>0</v>
      </c>
      <c r="G7">
        <v>0</v>
      </c>
    </row>
    <row r="8" spans="1:7" x14ac:dyDescent="0.25">
      <c r="B8" t="s">
        <v>384</v>
      </c>
      <c r="D8" t="s">
        <v>484</v>
      </c>
      <c r="E8" t="s">
        <v>244</v>
      </c>
      <c r="F8">
        <v>0</v>
      </c>
      <c r="G8">
        <v>0</v>
      </c>
    </row>
    <row r="9" spans="1:7" x14ac:dyDescent="0.25">
      <c r="B9" t="s">
        <v>385</v>
      </c>
    </row>
    <row r="10" spans="1:7" x14ac:dyDescent="0.25">
      <c r="B10" t="s">
        <v>386</v>
      </c>
    </row>
    <row r="11" spans="1:7" x14ac:dyDescent="0.25">
      <c r="B11" t="s">
        <v>387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C1" zoomScale="113" workbookViewId="0">
      <selection activeCell="J6" sqref="J6"/>
    </sheetView>
  </sheetViews>
  <sheetFormatPr defaultColWidth="11.42578125" defaultRowHeight="15" x14ac:dyDescent="0.25"/>
  <cols>
    <col min="2" max="2" width="15.7109375" customWidth="1"/>
    <col min="5" max="5" width="17" customWidth="1"/>
    <col min="6" max="6" width="19.7109375" customWidth="1"/>
    <col min="7" max="7" width="15.28515625" customWidth="1"/>
    <col min="8" max="8" width="16.140625" customWidth="1"/>
    <col min="9" max="9" width="18.42578125" customWidth="1"/>
    <col min="10" max="10" width="20.42578125" customWidth="1"/>
    <col min="11" max="11" width="23.28515625" customWidth="1"/>
    <col min="12" max="12" width="18.7109375" customWidth="1"/>
    <col min="13" max="13" width="19.7109375" customWidth="1"/>
  </cols>
  <sheetData>
    <row r="2" spans="5:13" x14ac:dyDescent="0.25">
      <c r="E2" t="s">
        <v>405</v>
      </c>
      <c r="F2" t="s">
        <v>404</v>
      </c>
      <c r="G2" t="s">
        <v>411</v>
      </c>
      <c r="H2" t="s">
        <v>412</v>
      </c>
      <c r="I2" t="s">
        <v>281</v>
      </c>
      <c r="J2" t="s">
        <v>282</v>
      </c>
      <c r="K2" t="s">
        <v>283</v>
      </c>
      <c r="L2" t="s">
        <v>284</v>
      </c>
      <c r="M2" t="s">
        <v>40</v>
      </c>
    </row>
    <row r="3" spans="5:13" x14ac:dyDescent="0.25">
      <c r="E3" t="s">
        <v>76</v>
      </c>
      <c r="F3" t="s">
        <v>406</v>
      </c>
      <c r="G3">
        <v>256</v>
      </c>
      <c r="H3">
        <v>256</v>
      </c>
      <c r="I3" t="s">
        <v>11</v>
      </c>
      <c r="J3" t="s">
        <v>28</v>
      </c>
      <c r="K3" t="s">
        <v>11</v>
      </c>
      <c r="L3" t="s">
        <v>27</v>
      </c>
      <c r="M3" t="s">
        <v>418</v>
      </c>
    </row>
    <row r="4" spans="5:13" x14ac:dyDescent="0.25">
      <c r="E4" t="s">
        <v>77</v>
      </c>
      <c r="F4" t="s">
        <v>407</v>
      </c>
      <c r="G4">
        <v>256</v>
      </c>
      <c r="H4">
        <v>2048</v>
      </c>
      <c r="I4" t="s">
        <v>9</v>
      </c>
      <c r="J4" t="s">
        <v>26</v>
      </c>
      <c r="K4" t="s">
        <v>9</v>
      </c>
      <c r="L4" t="s">
        <v>25</v>
      </c>
      <c r="M4" t="s">
        <v>340</v>
      </c>
    </row>
    <row r="5" spans="5:13" x14ac:dyDescent="0.25">
      <c r="E5" t="s">
        <v>217</v>
      </c>
      <c r="F5" t="s">
        <v>408</v>
      </c>
      <c r="G5">
        <v>256</v>
      </c>
      <c r="H5">
        <v>2048</v>
      </c>
      <c r="I5" t="s">
        <v>10</v>
      </c>
      <c r="J5" t="s">
        <v>31</v>
      </c>
      <c r="K5" t="s">
        <v>10</v>
      </c>
      <c r="L5" t="s">
        <v>32</v>
      </c>
      <c r="M5" t="s">
        <v>419</v>
      </c>
    </row>
    <row r="6" spans="5:13" x14ac:dyDescent="0.25">
      <c r="E6" t="s">
        <v>274</v>
      </c>
      <c r="F6" t="s">
        <v>409</v>
      </c>
      <c r="G6">
        <v>0</v>
      </c>
      <c r="H6">
        <v>0</v>
      </c>
      <c r="I6" t="s">
        <v>256</v>
      </c>
      <c r="J6" t="s">
        <v>30</v>
      </c>
      <c r="K6" t="s">
        <v>256</v>
      </c>
      <c r="L6" t="s">
        <v>31</v>
      </c>
      <c r="M6" t="s">
        <v>421</v>
      </c>
    </row>
    <row r="7" spans="5:13" x14ac:dyDescent="0.25">
      <c r="E7" t="s">
        <v>275</v>
      </c>
      <c r="F7" t="s">
        <v>410</v>
      </c>
      <c r="G7">
        <v>0</v>
      </c>
      <c r="H7">
        <v>0</v>
      </c>
      <c r="I7" t="s">
        <v>256</v>
      </c>
      <c r="J7" t="s">
        <v>32</v>
      </c>
      <c r="K7" t="s">
        <v>256</v>
      </c>
      <c r="L7" t="s">
        <v>33</v>
      </c>
      <c r="M7" t="s">
        <v>420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2" zoomScale="84" zoomScaleNormal="55" workbookViewId="0">
      <selection activeCell="F9" sqref="F9"/>
    </sheetView>
  </sheetViews>
  <sheetFormatPr defaultColWidth="11.42578125" defaultRowHeight="15" x14ac:dyDescent="0.25"/>
  <cols>
    <col min="4" max="4" width="17.5703125" customWidth="1"/>
    <col min="5" max="5" width="17.140625" customWidth="1"/>
    <col min="10" max="10" width="38.28515625" customWidth="1"/>
    <col min="11" max="11" width="20.5703125" customWidth="1"/>
    <col min="13" max="13" width="20.5703125" customWidth="1"/>
    <col min="15" max="15" width="20.28515625" customWidth="1"/>
  </cols>
  <sheetData>
    <row r="1" spans="3:14" ht="93.75" x14ac:dyDescent="1.4">
      <c r="D1" s="6" t="s">
        <v>314</v>
      </c>
    </row>
    <row r="3" spans="3:14" x14ac:dyDescent="0.25">
      <c r="C3">
        <v>1000000</v>
      </c>
    </row>
    <row r="4" spans="3:14" x14ac:dyDescent="0.25">
      <c r="L4" t="s">
        <v>307</v>
      </c>
      <c r="N4" t="s">
        <v>310</v>
      </c>
    </row>
    <row r="5" spans="3:14" x14ac:dyDescent="0.25">
      <c r="L5">
        <v>65000</v>
      </c>
      <c r="N5">
        <v>9</v>
      </c>
    </row>
    <row r="7" spans="3:14" x14ac:dyDescent="0.25">
      <c r="D7" t="s">
        <v>305</v>
      </c>
      <c r="E7" t="s">
        <v>304</v>
      </c>
      <c r="F7" t="s">
        <v>302</v>
      </c>
      <c r="G7" t="s">
        <v>303</v>
      </c>
      <c r="J7" t="s">
        <v>306</v>
      </c>
    </row>
    <row r="8" spans="3:14" x14ac:dyDescent="0.25">
      <c r="D8">
        <v>8000</v>
      </c>
      <c r="E8">
        <v>128</v>
      </c>
      <c r="F8">
        <v>62</v>
      </c>
      <c r="G8">
        <v>50793</v>
      </c>
      <c r="J8">
        <f>(E8*1000000)/((L5))</f>
        <v>1969.2307692307693</v>
      </c>
      <c r="M8" t="s">
        <v>313</v>
      </c>
    </row>
    <row r="9" spans="3:14" x14ac:dyDescent="0.25">
      <c r="M9">
        <f>J14-ROUND(J14,0)</f>
        <v>0.24615384615384617</v>
      </c>
    </row>
    <row r="12" spans="3:14" x14ac:dyDescent="0.25">
      <c r="D12">
        <f>(E8*C3)/((F8+1)*(G8+1))</f>
        <v>39.99972500189061</v>
      </c>
      <c r="L12" t="s">
        <v>312</v>
      </c>
    </row>
    <row r="13" spans="3:14" x14ac:dyDescent="0.25">
      <c r="J13" t="s">
        <v>308</v>
      </c>
      <c r="L13" t="e">
        <f>L5+(L5/J15)*M9</f>
        <v>#DIV/0!</v>
      </c>
    </row>
    <row r="14" spans="3:14" x14ac:dyDescent="0.25">
      <c r="J14">
        <f>E8*C3/(D8*(L5))</f>
        <v>0.24615384615384617</v>
      </c>
    </row>
    <row r="15" spans="3:14" x14ac:dyDescent="0.25">
      <c r="J15">
        <f>TRUNC(J14)</f>
        <v>0</v>
      </c>
    </row>
    <row r="16" spans="3:14" x14ac:dyDescent="0.25">
      <c r="D16">
        <f>E8*C3/D8</f>
        <v>16000</v>
      </c>
      <c r="J16" t="s">
        <v>110</v>
      </c>
    </row>
    <row r="17" spans="2:16" x14ac:dyDescent="0.25">
      <c r="J17" t="s">
        <v>309</v>
      </c>
      <c r="L17" t="s">
        <v>311</v>
      </c>
    </row>
    <row r="18" spans="2:16" x14ac:dyDescent="0.25">
      <c r="D18">
        <f>E8*C3/D16</f>
        <v>8000</v>
      </c>
      <c r="J18">
        <f>(E8*C3)/((L5)*(INT(J14)+1))</f>
        <v>1969.2307692307693</v>
      </c>
      <c r="L18" t="e">
        <f>(E8*C3)/((J15)*(L13))</f>
        <v>#DIV/0!</v>
      </c>
    </row>
    <row r="23" spans="2:16" x14ac:dyDescent="0.25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25">
      <c r="D28" t="s">
        <v>317</v>
      </c>
      <c r="K28" t="s">
        <v>319</v>
      </c>
    </row>
    <row r="29" spans="2:16" x14ac:dyDescent="0.25">
      <c r="D29">
        <v>1000000</v>
      </c>
      <c r="K29">
        <f>1/(D31/1000)</f>
        <v>0.5</v>
      </c>
      <c r="M29" t="s">
        <v>302</v>
      </c>
    </row>
    <row r="30" spans="2:16" x14ac:dyDescent="0.25">
      <c r="D30" t="s">
        <v>315</v>
      </c>
      <c r="E30" t="s">
        <v>316</v>
      </c>
      <c r="F30" t="s">
        <v>318</v>
      </c>
      <c r="G30" t="s">
        <v>303</v>
      </c>
      <c r="I30" t="s">
        <v>322</v>
      </c>
      <c r="J30" t="s">
        <v>320</v>
      </c>
      <c r="K30" t="s">
        <v>323</v>
      </c>
      <c r="L30" t="s">
        <v>324</v>
      </c>
      <c r="M30" t="s">
        <v>321</v>
      </c>
      <c r="O30" t="s">
        <v>325</v>
      </c>
      <c r="P30" t="e">
        <f>2^#REF!</f>
        <v>#REF!</v>
      </c>
    </row>
    <row r="31" spans="2:16" x14ac:dyDescent="0.25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25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25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25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25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25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25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25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25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25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25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25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25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25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25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25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25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25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25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25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25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25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25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25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25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25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25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25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25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25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25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25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25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25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25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25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25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25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25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25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25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25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25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25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25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25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25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25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25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25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25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25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25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25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25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25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25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25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25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25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25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25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25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25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25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25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25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25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25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25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25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25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25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25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25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25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25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25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25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25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25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25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25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25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25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25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25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25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25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25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25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25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25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25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25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25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25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25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25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25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25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25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25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25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25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25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25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25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25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25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25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25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25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25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25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25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25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25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25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25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25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25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25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25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25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25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25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25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25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25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25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25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25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25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25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25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25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25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25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25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25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25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25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25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25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25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25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25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25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25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25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25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25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25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25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25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25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25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25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25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25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25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25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25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25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25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25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25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25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25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25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25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25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25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25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25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25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25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25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25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25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25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25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25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25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25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25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25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25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25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25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25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25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25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25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25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25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25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25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25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25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25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25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25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25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25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25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25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25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25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25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25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25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25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25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25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25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25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25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25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25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25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25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25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B4" zoomScaleNormal="100" workbookViewId="0">
      <selection activeCell="L15" sqref="L15"/>
    </sheetView>
  </sheetViews>
  <sheetFormatPr defaultColWidth="11.42578125" defaultRowHeight="15" x14ac:dyDescent="0.25"/>
  <cols>
    <col min="5" max="5" width="18.7109375" customWidth="1"/>
    <col min="6" max="6" width="20.7109375" customWidth="1"/>
  </cols>
  <sheetData>
    <row r="3" spans="2:15" ht="93.75" x14ac:dyDescent="1.4">
      <c r="B3" s="6" t="s">
        <v>430</v>
      </c>
    </row>
    <row r="5" spans="2:15" x14ac:dyDescent="0.25">
      <c r="J5" t="s">
        <v>442</v>
      </c>
      <c r="K5" t="s">
        <v>443</v>
      </c>
      <c r="L5" t="s">
        <v>444</v>
      </c>
    </row>
    <row r="6" spans="2:15" x14ac:dyDescent="0.25">
      <c r="J6">
        <v>128000000</v>
      </c>
      <c r="K6">
        <v>1024</v>
      </c>
      <c r="L6">
        <v>64000</v>
      </c>
    </row>
    <row r="8" spans="2:15" x14ac:dyDescent="0.25">
      <c r="O8">
        <v>32</v>
      </c>
    </row>
    <row r="9" spans="2:15" x14ac:dyDescent="0.25">
      <c r="O9">
        <v>16</v>
      </c>
    </row>
    <row r="10" spans="2:15" x14ac:dyDescent="0.25">
      <c r="O10">
        <v>8</v>
      </c>
    </row>
    <row r="11" spans="2:15" x14ac:dyDescent="0.25">
      <c r="O11">
        <v>4</v>
      </c>
    </row>
    <row r="12" spans="2:15" x14ac:dyDescent="0.25">
      <c r="O12">
        <v>2</v>
      </c>
    </row>
    <row r="13" spans="2:15" x14ac:dyDescent="0.25">
      <c r="O13">
        <v>1</v>
      </c>
    </row>
    <row r="14" spans="2:15" x14ac:dyDescent="0.25">
      <c r="O14">
        <v>2</v>
      </c>
    </row>
    <row r="15" spans="2:15" x14ac:dyDescent="0.25">
      <c r="O15">
        <v>4</v>
      </c>
    </row>
    <row r="20" spans="5:18" x14ac:dyDescent="0.25">
      <c r="E20" s="9" t="s">
        <v>439</v>
      </c>
      <c r="F20" s="9" t="s">
        <v>441</v>
      </c>
      <c r="G20" s="10" t="s">
        <v>440</v>
      </c>
    </row>
    <row r="21" spans="5:18" x14ac:dyDescent="0.25">
      <c r="E21" s="7" t="s">
        <v>431</v>
      </c>
      <c r="F21" s="7">
        <f>$J$6 *$O$8 / $K$6</f>
        <v>4000000</v>
      </c>
      <c r="G21" s="7">
        <f>$J$6 *$O$8 / $L$6</f>
        <v>64000</v>
      </c>
    </row>
    <row r="22" spans="5:18" x14ac:dyDescent="0.25">
      <c r="E22" s="8" t="s">
        <v>432</v>
      </c>
      <c r="F22" s="8">
        <f>$J$6 *$O$9 / $K$6</f>
        <v>2000000</v>
      </c>
      <c r="G22" s="8">
        <f>$J$6 *$O$9 / $L$6</f>
        <v>32000</v>
      </c>
    </row>
    <row r="23" spans="5:18" x14ac:dyDescent="0.25">
      <c r="E23" s="7" t="s">
        <v>433</v>
      </c>
      <c r="F23" s="7">
        <f>$J$6 *$O$10 / $K$6</f>
        <v>1000000</v>
      </c>
      <c r="G23" s="7">
        <f>$J$6 *$O$10 / $L$6</f>
        <v>16000</v>
      </c>
      <c r="R23" t="s">
        <v>110</v>
      </c>
    </row>
    <row r="24" spans="5:18" x14ac:dyDescent="0.25">
      <c r="E24" s="8" t="s">
        <v>434</v>
      </c>
      <c r="F24" s="8">
        <f>$J$6 *$O$11 / $K$6</f>
        <v>500000</v>
      </c>
      <c r="G24" s="8">
        <f>$J$6 *$O$11 / $L$6</f>
        <v>8000</v>
      </c>
    </row>
    <row r="25" spans="5:18" x14ac:dyDescent="0.25">
      <c r="E25" s="7" t="s">
        <v>435</v>
      </c>
      <c r="F25" s="7">
        <f>$J$6 *$O$12 / $K$6</f>
        <v>250000</v>
      </c>
      <c r="G25" s="7">
        <f>$J$6 *$O$12 / $L$6</f>
        <v>4000</v>
      </c>
    </row>
    <row r="26" spans="5:18" x14ac:dyDescent="0.25">
      <c r="E26" s="8" t="s">
        <v>436</v>
      </c>
      <c r="F26" s="8">
        <f>$J$6 *$O$13 / $K$6</f>
        <v>125000</v>
      </c>
      <c r="G26" s="8">
        <f>$J$6 *$O$13 / $L$6</f>
        <v>2000</v>
      </c>
    </row>
    <row r="27" spans="5:18" x14ac:dyDescent="0.25">
      <c r="E27" s="7" t="s">
        <v>437</v>
      </c>
      <c r="F27" s="7">
        <f>$J$6 / $O$14 / $K$6</f>
        <v>62500</v>
      </c>
      <c r="G27" s="7">
        <f>$J$6 / $O$14 / $L$6</f>
        <v>1000</v>
      </c>
    </row>
    <row r="28" spans="5:18" x14ac:dyDescent="0.25">
      <c r="E28" s="11" t="s">
        <v>438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Théo LEMAIR (CIPA5 NANTES_2026)</cp:lastModifiedBy>
  <dcterms:created xsi:type="dcterms:W3CDTF">2024-09-12T12:58:01Z</dcterms:created>
  <dcterms:modified xsi:type="dcterms:W3CDTF">2026-01-29T14:10:16Z</dcterms:modified>
</cp:coreProperties>
</file>